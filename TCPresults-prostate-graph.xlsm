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B30410F-F142-6C75-8FE4-BCCB68B043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tt\OneDrive\PhD\Quasar Shared\Modelling\IPython\"/>
    </mc:Choice>
  </mc:AlternateContent>
  <bookViews>
    <workbookView xWindow="0" yWindow="0" windowWidth="20490" windowHeight="9200"/>
  </bookViews>
  <sheets>
    <sheet name="TCPresults" sheetId="1" r:id="rId1"/>
  </sheets>
  <definedNames>
    <definedName name="_xlnm._FilterDatabase" localSheetId="0" hidden="1">TCPresults!$A$18:$AG$150</definedName>
    <definedName name="ab">TCPresults!$AO$2:$AO$6</definedName>
    <definedName name="abmeanval">TCPresults!$E$4</definedName>
    <definedName name="absd">TCPresults!$AP$2:$AP$6</definedName>
    <definedName name="absdval">TCPresults!$E$5</definedName>
    <definedName name="Axis_max">TCPresults!$H$2</definedName>
    <definedName name="Axis_min">TCPresults!$H$3</definedName>
    <definedName name="d">TCPresults!$AQ$2:$AQ$6</definedName>
    <definedName name="dofi">TCPresults!$AV$2:$AV$6</definedName>
    <definedName name="dofival">TCPresults!$E$10</definedName>
    <definedName name="dsd">TCPresults!$AS$2:$AS$6</definedName>
    <definedName name="dsdval">TCPresults!$E$8</definedName>
    <definedName name="dshift">TCPresults!$AR$2:$AR$14</definedName>
    <definedName name="dshiftval">TCPresults!$E$7</definedName>
    <definedName name="dval">TCPresults!$E$6</definedName>
    <definedName name="fofi">TCPresults!$AW$2:$AW$6</definedName>
    <definedName name="k">TCPresults!$AN$2:$AN$6</definedName>
    <definedName name="kval">TCPresults!$E$3</definedName>
    <definedName name="maxd">TCPresults!$AU$2:$AU$6</definedName>
    <definedName name="n">TCPresults!$AM$2:$AM$6</definedName>
    <definedName name="no">TCPresults!$AT$2:$AT$6</definedName>
    <definedName name="noval">TCPresults!$E$9</definedName>
    <definedName name="nval">TCPresults!$E$2</definedName>
  </definedNames>
  <calcPr calcId="162913"/>
</workbook>
</file>

<file path=xl/calcChain.xml><?xml version="1.0" encoding="utf-8"?>
<calcChain xmlns="http://schemas.openxmlformats.org/spreadsheetml/2006/main">
  <c r="AF20" i="1" l="1"/>
  <c r="AG20" i="1"/>
  <c r="AF21" i="1"/>
  <c r="AG21" i="1"/>
  <c r="AF22" i="1"/>
  <c r="AG22" i="1"/>
  <c r="AF23" i="1"/>
  <c r="AG23" i="1"/>
  <c r="AF24" i="1"/>
  <c r="AG24" i="1"/>
  <c r="AF25" i="1"/>
  <c r="AG25" i="1"/>
  <c r="AF26" i="1"/>
  <c r="AG26" i="1"/>
  <c r="AF27" i="1"/>
  <c r="AG27" i="1"/>
  <c r="AF28" i="1"/>
  <c r="AG28" i="1"/>
  <c r="AF29" i="1"/>
  <c r="AG29" i="1"/>
  <c r="AF30" i="1"/>
  <c r="AG30" i="1"/>
  <c r="AF31" i="1"/>
  <c r="AG31" i="1"/>
  <c r="AF32" i="1"/>
  <c r="AG32" i="1"/>
  <c r="AF33" i="1"/>
  <c r="AG33" i="1"/>
  <c r="AF34" i="1"/>
  <c r="AG34" i="1"/>
  <c r="AF35" i="1"/>
  <c r="AG35" i="1"/>
  <c r="AF36" i="1"/>
  <c r="AG36" i="1"/>
  <c r="AF37" i="1"/>
  <c r="AG37" i="1"/>
  <c r="AF38" i="1"/>
  <c r="AG38" i="1"/>
  <c r="AF39" i="1"/>
  <c r="AG39" i="1"/>
  <c r="AF40" i="1"/>
  <c r="AG40" i="1"/>
  <c r="AF41" i="1"/>
  <c r="AG41" i="1"/>
  <c r="AF42" i="1"/>
  <c r="AG42" i="1"/>
  <c r="AF43" i="1"/>
  <c r="AG43" i="1"/>
  <c r="AF44" i="1"/>
  <c r="AG44" i="1"/>
  <c r="AF45" i="1"/>
  <c r="AG45" i="1"/>
  <c r="AF46" i="1"/>
  <c r="AG46" i="1"/>
  <c r="AF47" i="1"/>
  <c r="AG47" i="1"/>
  <c r="AF48" i="1"/>
  <c r="AG48" i="1"/>
  <c r="AF49" i="1"/>
  <c r="AG49" i="1"/>
  <c r="AF50" i="1"/>
  <c r="AG50" i="1"/>
  <c r="AF51" i="1"/>
  <c r="AG51" i="1"/>
  <c r="AF52" i="1"/>
  <c r="AG52" i="1"/>
  <c r="AF53" i="1"/>
  <c r="AG53" i="1"/>
  <c r="AF54" i="1"/>
  <c r="AG54" i="1"/>
  <c r="AF55" i="1"/>
  <c r="AG55" i="1"/>
  <c r="AF56" i="1"/>
  <c r="AG56" i="1"/>
  <c r="AF57" i="1"/>
  <c r="AG57" i="1"/>
  <c r="AF58" i="1"/>
  <c r="AG58" i="1"/>
  <c r="AF59" i="1"/>
  <c r="AG59" i="1"/>
  <c r="AF60" i="1"/>
  <c r="AG60" i="1"/>
  <c r="AF61" i="1"/>
  <c r="AG61" i="1"/>
  <c r="AF62" i="1"/>
  <c r="AG62" i="1"/>
  <c r="AF63" i="1"/>
  <c r="AG63" i="1"/>
  <c r="AF64" i="1"/>
  <c r="AG64" i="1"/>
  <c r="AF65" i="1"/>
  <c r="AG65" i="1"/>
  <c r="AF66" i="1"/>
  <c r="AG66" i="1"/>
  <c r="AF67" i="1"/>
  <c r="AG67" i="1"/>
  <c r="AF68" i="1"/>
  <c r="AG68" i="1"/>
  <c r="AF69" i="1"/>
  <c r="AG69" i="1"/>
  <c r="AF70" i="1"/>
  <c r="AG70" i="1"/>
  <c r="AF71" i="1"/>
  <c r="AG71" i="1"/>
  <c r="AF72" i="1"/>
  <c r="AG72" i="1"/>
  <c r="AF73" i="1"/>
  <c r="AG73" i="1"/>
  <c r="AF74" i="1"/>
  <c r="AG74" i="1"/>
  <c r="AF75" i="1"/>
  <c r="AG75" i="1"/>
  <c r="AF76" i="1"/>
  <c r="AG76" i="1"/>
  <c r="AF77" i="1"/>
  <c r="AG77" i="1"/>
  <c r="AF78" i="1"/>
  <c r="AG78" i="1"/>
  <c r="AF79" i="1"/>
  <c r="AG79" i="1"/>
  <c r="AF80" i="1"/>
  <c r="AG80" i="1"/>
  <c r="AF81" i="1"/>
  <c r="AG81" i="1"/>
  <c r="AF82" i="1"/>
  <c r="AG82" i="1"/>
  <c r="AF83" i="1"/>
  <c r="AG83" i="1"/>
  <c r="AF84" i="1"/>
  <c r="AG84" i="1"/>
  <c r="AF85" i="1"/>
  <c r="AG85" i="1"/>
  <c r="AF86" i="1"/>
  <c r="AG86" i="1"/>
  <c r="AF87" i="1"/>
  <c r="AG87" i="1"/>
  <c r="AF88" i="1"/>
  <c r="AG88" i="1"/>
  <c r="AF89" i="1"/>
  <c r="AG89" i="1"/>
  <c r="AF90" i="1"/>
  <c r="AG90" i="1"/>
  <c r="AF91" i="1"/>
  <c r="AG91" i="1"/>
  <c r="AF92" i="1"/>
  <c r="AG92" i="1"/>
  <c r="AF93" i="1"/>
  <c r="AG93" i="1"/>
  <c r="AF94" i="1"/>
  <c r="AG94" i="1"/>
  <c r="AF95" i="1"/>
  <c r="AG95" i="1"/>
  <c r="AF96" i="1"/>
  <c r="AG96" i="1"/>
  <c r="AF97" i="1"/>
  <c r="AG97" i="1"/>
  <c r="AF98" i="1"/>
  <c r="AG98" i="1"/>
  <c r="AF99" i="1"/>
  <c r="AG99" i="1"/>
  <c r="AF100" i="1"/>
  <c r="AG100" i="1"/>
  <c r="AF101" i="1"/>
  <c r="AG101" i="1"/>
  <c r="AF102" i="1"/>
  <c r="AG102" i="1"/>
  <c r="AF103" i="1"/>
  <c r="AG103" i="1"/>
  <c r="AF104" i="1"/>
  <c r="AG104" i="1"/>
  <c r="AF105" i="1"/>
  <c r="AG105" i="1"/>
  <c r="AF106" i="1"/>
  <c r="AG106" i="1"/>
  <c r="AF107" i="1"/>
  <c r="AG107" i="1"/>
  <c r="AF108" i="1"/>
  <c r="AG108" i="1"/>
  <c r="AF109" i="1"/>
  <c r="AG109" i="1"/>
  <c r="AF110" i="1"/>
  <c r="AG110" i="1"/>
  <c r="AF111" i="1"/>
  <c r="AG111" i="1"/>
  <c r="AF112" i="1"/>
  <c r="AG112" i="1"/>
  <c r="AF113" i="1"/>
  <c r="AG113" i="1"/>
  <c r="AF114" i="1"/>
  <c r="AG114" i="1"/>
  <c r="AF115" i="1"/>
  <c r="AG115" i="1"/>
  <c r="AF116" i="1"/>
  <c r="AG116" i="1"/>
  <c r="AF117" i="1"/>
  <c r="AG117" i="1"/>
  <c r="AF118" i="1"/>
  <c r="AG118" i="1"/>
  <c r="AF119" i="1"/>
  <c r="AG119" i="1"/>
  <c r="AF120" i="1"/>
  <c r="AG120" i="1"/>
  <c r="AF121" i="1"/>
  <c r="AG121" i="1"/>
  <c r="AF122" i="1"/>
  <c r="AG122" i="1"/>
  <c r="AF123" i="1"/>
  <c r="AG123" i="1"/>
  <c r="AF124" i="1"/>
  <c r="AG124" i="1"/>
  <c r="AF125" i="1"/>
  <c r="AG125" i="1"/>
  <c r="AF126" i="1"/>
  <c r="AG126" i="1"/>
  <c r="AF127" i="1"/>
  <c r="AG127" i="1"/>
  <c r="AF128" i="1"/>
  <c r="AG128" i="1"/>
  <c r="AF129" i="1"/>
  <c r="AG129" i="1"/>
  <c r="AF130" i="1"/>
  <c r="AG130" i="1"/>
  <c r="AF131" i="1"/>
  <c r="AG131" i="1"/>
  <c r="AF132" i="1"/>
  <c r="AG132" i="1"/>
  <c r="AF133" i="1"/>
  <c r="AG133" i="1"/>
  <c r="AF134" i="1"/>
  <c r="AG134" i="1"/>
  <c r="AF135" i="1"/>
  <c r="AG135" i="1"/>
  <c r="AF136" i="1"/>
  <c r="AG136" i="1"/>
  <c r="AF137" i="1"/>
  <c r="AG137" i="1"/>
  <c r="AF138" i="1"/>
  <c r="AG138" i="1"/>
  <c r="AF139" i="1"/>
  <c r="AG139" i="1"/>
  <c r="AF140" i="1"/>
  <c r="AG140" i="1"/>
  <c r="AF141" i="1"/>
  <c r="AG141" i="1"/>
  <c r="AF142" i="1"/>
  <c r="AG142" i="1"/>
  <c r="AF143" i="1"/>
  <c r="AG143" i="1"/>
  <c r="AF144" i="1"/>
  <c r="AG144" i="1"/>
  <c r="AF145" i="1"/>
  <c r="AG145" i="1"/>
  <c r="AF146" i="1"/>
  <c r="AG146" i="1"/>
  <c r="AF147" i="1"/>
  <c r="AG147" i="1"/>
  <c r="AF148" i="1"/>
  <c r="AG148" i="1"/>
  <c r="AF149" i="1"/>
  <c r="AG149" i="1"/>
  <c r="AF150" i="1"/>
  <c r="AG150" i="1"/>
  <c r="AG19" i="1"/>
  <c r="AF19" i="1"/>
  <c r="H3" i="1" l="1"/>
  <c r="E13" i="1"/>
  <c r="E12" i="1"/>
  <c r="H2" i="1"/>
  <c r="E14" i="1" l="1"/>
</calcChain>
</file>

<file path=xl/sharedStrings.xml><?xml version="1.0" encoding="utf-8"?>
<sst xmlns="http://schemas.openxmlformats.org/spreadsheetml/2006/main" count="59" uniqueCount="41">
  <si>
    <t>n</t>
  </si>
  <si>
    <t>k</t>
  </si>
  <si>
    <t>alpha/beta</t>
  </si>
  <si>
    <t>alpha/beta SD</t>
  </si>
  <si>
    <t>d</t>
  </si>
  <si>
    <t>d_shift</t>
  </si>
  <si>
    <t>d_sd</t>
  </si>
  <si>
    <t>n0</t>
  </si>
  <si>
    <t>max_d</t>
  </si>
  <si>
    <t>dose_of_interest</t>
  </si>
  <si>
    <t>frac_of_interest</t>
  </si>
  <si>
    <t>TCPs</t>
  </si>
  <si>
    <t>TCP_mean</t>
  </si>
  <si>
    <t>TCP_sd</t>
  </si>
  <si>
    <t>a/b SD</t>
  </si>
  <si>
    <t>a/b mean</t>
  </si>
  <si>
    <t>*all</t>
  </si>
  <si>
    <t>axis max</t>
  </si>
  <si>
    <t>axis min</t>
  </si>
  <si>
    <t>TCPs2</t>
  </si>
  <si>
    <t>TCPs3</t>
  </si>
  <si>
    <t>TCPs4</t>
  </si>
  <si>
    <t>TCPs5</t>
  </si>
  <si>
    <t>TCPs6</t>
  </si>
  <si>
    <t>TCPs7</t>
  </si>
  <si>
    <t>TCPs8</t>
  </si>
  <si>
    <t>TCPs9</t>
  </si>
  <si>
    <t>TCPs10</t>
  </si>
  <si>
    <t>TCPs11</t>
  </si>
  <si>
    <t>TCPs12</t>
  </si>
  <si>
    <t>TCPs13</t>
  </si>
  <si>
    <t>TCPs14</t>
  </si>
  <si>
    <t>TCPs15</t>
  </si>
  <si>
    <t>TCPs16</t>
  </si>
  <si>
    <t>TCPs17</t>
  </si>
  <si>
    <t>TCPs18</t>
  </si>
  <si>
    <t>TCPs19</t>
  </si>
  <si>
    <t>TCPs20</t>
  </si>
  <si>
    <t>TCP Range (%)</t>
  </si>
  <si>
    <t>TCP Max (%)</t>
  </si>
  <si>
    <t>TCP Min 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</si>
</sst>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6"/>
      <color rgb="FF000000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5">
    <xf numFmtId="0" fontId="0" fillId="0" borderId="0" xfId="0"/>
    <xf numFmtId="0" fontId="0" fillId="33" borderId="0" xfId="0" applyFill="1"/>
    <xf numFmtId="0" fontId="0" fillId="37" borderId="10" xfId="0" applyFill="1" applyBorder="1"/>
    <xf numFmtId="0" fontId="0" fillId="37" borderId="11" xfId="0" applyFill="1" applyBorder="1" applyAlignment="1">
      <alignment horizontal="right"/>
    </xf>
    <xf numFmtId="0" fontId="0" fillId="37" borderId="13" xfId="0" applyFill="1" applyBorder="1"/>
    <xf numFmtId="0" fontId="0" fillId="37" borderId="0" xfId="0" applyFill="1" applyBorder="1" applyAlignment="1">
      <alignment horizontal="right"/>
    </xf>
    <xf numFmtId="0" fontId="0" fillId="37" borderId="18" xfId="0" applyFill="1" applyBorder="1"/>
    <xf numFmtId="0" fontId="0" fillId="37" borderId="21" xfId="0" applyFill="1" applyBorder="1"/>
    <xf numFmtId="0" fontId="0" fillId="37" borderId="23" xfId="0" applyFill="1" applyBorder="1"/>
    <xf numFmtId="0" fontId="0" fillId="36" borderId="25" xfId="0" applyFill="1" applyBorder="1"/>
    <xf numFmtId="0" fontId="0" fillId="36" borderId="26" xfId="0" applyFill="1" applyBorder="1"/>
    <xf numFmtId="0" fontId="0" fillId="37" borderId="19" xfId="0" applyFill="1" applyBorder="1" applyAlignment="1">
      <alignment horizontal="right" indent="1"/>
    </xf>
    <xf numFmtId="0" fontId="0" fillId="37" borderId="22" xfId="0" applyFill="1" applyBorder="1" applyAlignment="1">
      <alignment horizontal="right" indent="1"/>
    </xf>
    <xf numFmtId="0" fontId="0" fillId="37" borderId="24" xfId="0" applyFill="1" applyBorder="1" applyAlignment="1">
      <alignment horizontal="right" indent="1"/>
    </xf>
    <xf numFmtId="0" fontId="0" fillId="0" borderId="18" xfId="0" applyBorder="1" applyAlignment="1">
      <alignment horizontal="right"/>
    </xf>
    <xf numFmtId="0" fontId="0" fillId="0" borderId="15" xfId="0" applyBorder="1" applyAlignment="1">
      <alignment horizontal="right"/>
    </xf>
    <xf numFmtId="0" fontId="0" fillId="0" borderId="20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34" borderId="26" xfId="0" applyFill="1" applyBorder="1"/>
    <xf numFmtId="0" fontId="0" fillId="34" borderId="27" xfId="0" applyFill="1" applyBorder="1"/>
    <xf numFmtId="2" fontId="0" fillId="37" borderId="12" xfId="0" applyNumberFormat="1" applyFill="1" applyBorder="1" applyAlignment="1">
      <alignment horizontal="center" vertical="center"/>
    </xf>
    <xf numFmtId="2" fontId="0" fillId="37" borderId="14" xfId="0" applyNumberFormat="1" applyFill="1" applyBorder="1" applyAlignment="1">
      <alignment horizontal="center" vertical="center"/>
    </xf>
    <xf numFmtId="0" fontId="13" fillId="35" borderId="15" xfId="0" applyFont="1" applyFill="1" applyBorder="1"/>
    <xf numFmtId="0" fontId="13" fillId="35" borderId="16" xfId="0" applyFont="1" applyFill="1" applyBorder="1" applyAlignment="1">
      <alignment horizontal="right"/>
    </xf>
    <xf numFmtId="2" fontId="13" fillId="35" borderId="17" xfId="0" applyNumberFormat="1" applyFont="1" applyFill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ill>
        <patternFill patternType="solid">
          <fgColor indexed="64"/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TCPresults!$AF$18</c:f>
              <c:strCache>
                <c:ptCount val="1"/>
                <c:pt idx="0">
                  <c:v>TCP_mean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forward val="1"/>
            <c:backward val="1"/>
            <c:dispRSqr val="0"/>
            <c:dispEq val="1"/>
            <c:trendlineLbl>
              <c:layout>
                <c:manualLayout>
                  <c:x val="-1.0248653128885205E-2"/>
                  <c:y val="-0.12257329535935668"/>
                </c:manualLayout>
              </c:layout>
              <c:numFmt formatCode="General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TCPresults!$AG$19:$AG$150</c:f>
                <c:numCache>
                  <c:formatCode>General</c:formatCode>
                  <c:ptCount val="11"/>
                  <c:pt idx="0">
                    <c:v>4.8100970326157997</c:v>
                  </c:pt>
                  <c:pt idx="1">
                    <c:v>3.5585416739265714</c:v>
                  </c:pt>
                  <c:pt idx="2">
                    <c:v>5.3178793421939856</c:v>
                  </c:pt>
                  <c:pt idx="3">
                    <c:v>3.8720286703932789</c:v>
                  </c:pt>
                  <c:pt idx="4">
                    <c:v>4.6450241818601636</c:v>
                  </c:pt>
                  <c:pt idx="5">
                    <c:v>5.5257677705216164</c:v>
                  </c:pt>
                  <c:pt idx="6">
                    <c:v>3.1995369637209947</c:v>
                  </c:pt>
                  <c:pt idx="7">
                    <c:v>3.6777383369496612</c:v>
                  </c:pt>
                  <c:pt idx="8">
                    <c:v>3.2813781317100599</c:v>
                  </c:pt>
                  <c:pt idx="9">
                    <c:v>4.5512535831375249</c:v>
                  </c:pt>
                  <c:pt idx="10">
                    <c:v>3.8260961645875597</c:v>
                  </c:pt>
                </c:numCache>
              </c:numRef>
            </c:plus>
            <c:minus>
              <c:numRef>
                <c:f>TCPresults!$AG$19:$AG$150</c:f>
                <c:numCache>
                  <c:formatCode>General</c:formatCode>
                  <c:ptCount val="11"/>
                  <c:pt idx="0">
                    <c:v>4.8100970326157997</c:v>
                  </c:pt>
                  <c:pt idx="1">
                    <c:v>3.5585416739265714</c:v>
                  </c:pt>
                  <c:pt idx="2">
                    <c:v>5.3178793421939856</c:v>
                  </c:pt>
                  <c:pt idx="3">
                    <c:v>3.8720286703932789</c:v>
                  </c:pt>
                  <c:pt idx="4">
                    <c:v>4.6450241818601636</c:v>
                  </c:pt>
                  <c:pt idx="5">
                    <c:v>5.5257677705216164</c:v>
                  </c:pt>
                  <c:pt idx="6">
                    <c:v>3.1995369637209947</c:v>
                  </c:pt>
                  <c:pt idx="7">
                    <c:v>3.6777383369496612</c:v>
                  </c:pt>
                  <c:pt idx="8">
                    <c:v>3.2813781317100599</c:v>
                  </c:pt>
                  <c:pt idx="9">
                    <c:v>4.5512535831375249</c:v>
                  </c:pt>
                  <c:pt idx="10">
                    <c:v>3.8260961645875597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noFill/>
                <a:round/>
              </a:ln>
              <a:effectLst/>
            </c:spPr>
          </c:errBars>
          <c:xVal>
            <c:numRef>
              <c:f>TCPresults!$F$19:$F$150</c:f>
              <c:numCache>
                <c:formatCode>General</c:formatCode>
                <c:ptCount val="11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</c:numCache>
            </c:numRef>
          </c:xVal>
          <c:yVal>
            <c:numRef>
              <c:f>TCPresults!$AF$19:$AF$150</c:f>
              <c:numCache>
                <c:formatCode>General</c:formatCode>
                <c:ptCount val="11"/>
                <c:pt idx="0">
                  <c:v>50.586521784840002</c:v>
                </c:pt>
                <c:pt idx="1">
                  <c:v>54.295438872639991</c:v>
                </c:pt>
                <c:pt idx="2">
                  <c:v>53.058975477559997</c:v>
                </c:pt>
                <c:pt idx="3">
                  <c:v>59.040463887290002</c:v>
                </c:pt>
                <c:pt idx="4">
                  <c:v>61.706683012019994</c:v>
                </c:pt>
                <c:pt idx="5">
                  <c:v>61.823910396165004</c:v>
                </c:pt>
                <c:pt idx="6">
                  <c:v>65.022108449870004</c:v>
                </c:pt>
                <c:pt idx="7">
                  <c:v>68.052210075370013</c:v>
                </c:pt>
                <c:pt idx="8">
                  <c:v>68.371486119485013</c:v>
                </c:pt>
                <c:pt idx="9">
                  <c:v>68.706926139610005</c:v>
                </c:pt>
                <c:pt idx="10">
                  <c:v>71.123361067810009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72-476A-BE8D-F4BE8E7CE4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573664"/>
        <c:axId val="199574056"/>
      </c:scatterChart>
      <c:valAx>
        <c:axId val="199573664"/>
        <c:scaling>
          <c:orientation val="minMax"/>
          <c:max val="6"/>
          <c:min val="-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Dose Dif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574056"/>
        <c:crosses val="autoZero"/>
        <c:crossBetween val="midCat"/>
      </c:valAx>
      <c:valAx>
        <c:axId val="199574056"/>
        <c:scaling>
          <c:orientation val="minMax"/>
          <c:max val="75"/>
          <c:min val="4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Calc TCP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573664"/>
        <c:crossesAt val="-6"/>
        <c:crossBetween val="midCat"/>
      </c:valAx>
      <c:spPr>
        <a:noFill/>
        <a:ln>
          <a:solidFill>
            <a:schemeClr val="bg1">
              <a:lumMod val="50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523876</xdr:colOff>
      <xdr:row>0</xdr:row>
      <xdr:rowOff>47625</xdr:rowOff>
    </xdr:from>
    <xdr:to>
      <xdr:col>33</xdr:col>
      <xdr:colOff>419101</xdr:colOff>
      <xdr:row>16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3</xdr:row>
          <xdr:rowOff>38100</xdr:rowOff>
        </xdr:from>
        <xdr:to>
          <xdr:col>7</xdr:col>
          <xdr:colOff>412750</xdr:colOff>
          <xdr:row>4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Set Axis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127000</xdr:colOff>
          <xdr:row>7</xdr:row>
          <xdr:rowOff>69850</xdr:rowOff>
        </xdr:from>
        <xdr:to>
          <xdr:col>7</xdr:col>
          <xdr:colOff>412750</xdr:colOff>
          <xdr:row>9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8:AG150" totalsRowShown="0" headerRowDxfId="0">
  <autoFilter ref="A18:AG150">
    <filterColumn colId="2">
      <filters>
        <filter val="8"/>
      </filters>
    </filterColumn>
    <filterColumn colId="9">
      <filters>
        <filter val="76"/>
      </filters>
    </filterColumn>
  </autoFilter>
  <tableColumns count="33">
    <tableColumn id="1" name="n"/>
    <tableColumn id="2" name="k"/>
    <tableColumn id="3" name="alpha/beta"/>
    <tableColumn id="4" name="alpha/beta SD"/>
    <tableColumn id="5" name="d"/>
    <tableColumn id="6" name="d_shift"/>
    <tableColumn id="7" name="d_sd"/>
    <tableColumn id="8" name="n0"/>
    <tableColumn id="9" name="max_d"/>
    <tableColumn id="10" name="dose_of_interest"/>
    <tableColumn id="11" name="frac_of_interest"/>
    <tableColumn id="12" name="TCPs"/>
    <tableColumn id="13" name="TCPs2"/>
    <tableColumn id="14" name="TCPs3"/>
    <tableColumn id="15" name="TCPs4"/>
    <tableColumn id="16" name="TCPs5"/>
    <tableColumn id="17" name="TCPs6"/>
    <tableColumn id="18" name="TCPs7"/>
    <tableColumn id="19" name="TCPs8"/>
    <tableColumn id="20" name="TCPs9"/>
    <tableColumn id="21" name="TCPs10"/>
    <tableColumn id="22" name="TCPs11"/>
    <tableColumn id="23" name="TCPs12"/>
    <tableColumn id="24" name="TCPs13"/>
    <tableColumn id="25" name="TCPs14"/>
    <tableColumn id="26" name="TCPs15"/>
    <tableColumn id="27" name="TCPs16"/>
    <tableColumn id="28" name="TCPs17"/>
    <tableColumn id="29" name="TCPs18"/>
    <tableColumn id="30" name="TCPs19"/>
    <tableColumn id="31" name="TCPs20"/>
    <tableColumn id="32" name="TCP_mean">
      <calculatedColumnFormula>AVERAGE(L19:AE19)</calculatedColumnFormula>
    </tableColumn>
    <tableColumn id="33" name="TCP_sd">
      <calculatedColumnFormula>_xlfn.STDEV.P(L19:AE19)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W150"/>
  <sheetViews>
    <sheetView tabSelected="1" zoomScaleNormal="100" workbookViewId="0">
      <selection activeCell="E10" sqref="E10"/>
    </sheetView>
  </sheetViews>
  <sheetFormatPr defaultRowHeight="14.5" outlineLevelCol="1" x14ac:dyDescent="0.35"/>
  <cols>
    <col min="1" max="1" width="4.26953125" customWidth="1"/>
    <col min="2" max="2" width="4.1796875" customWidth="1"/>
    <col min="3" max="3" width="12.81640625" customWidth="1"/>
    <col min="4" max="4" width="15.54296875" customWidth="1"/>
    <col min="6" max="6" width="9.26953125" customWidth="1"/>
    <col min="10" max="10" width="18.26953125" customWidth="1"/>
    <col min="11" max="11" width="17.26953125" customWidth="1"/>
    <col min="12" max="31" width="5.81640625" hidden="1" customWidth="1" outlineLevel="1"/>
    <col min="32" max="32" width="12.54296875" bestFit="1" customWidth="1" collapsed="1"/>
    <col min="33" max="33" width="9.453125" customWidth="1"/>
    <col min="37" max="37" width="17.81640625" customWidth="1"/>
  </cols>
  <sheetData>
    <row r="1" spans="3:49" ht="15" thickBot="1" x14ac:dyDescent="0.4">
      <c r="AM1" s="1" t="s">
        <v>0</v>
      </c>
      <c r="AN1" s="1" t="s">
        <v>1</v>
      </c>
      <c r="AO1" s="1" t="s">
        <v>2</v>
      </c>
      <c r="AP1" s="1" t="s">
        <v>3</v>
      </c>
      <c r="AQ1" s="1" t="s">
        <v>4</v>
      </c>
      <c r="AR1" s="1" t="s">
        <v>5</v>
      </c>
      <c r="AS1" s="1" t="s">
        <v>6</v>
      </c>
      <c r="AT1" s="1" t="s">
        <v>7</v>
      </c>
      <c r="AU1" s="1" t="s">
        <v>8</v>
      </c>
      <c r="AV1" s="1" t="s">
        <v>9</v>
      </c>
      <c r="AW1" s="1" t="s">
        <v>10</v>
      </c>
    </row>
    <row r="2" spans="3:49" x14ac:dyDescent="0.35">
      <c r="C2" s="6"/>
      <c r="D2" s="11" t="s">
        <v>0</v>
      </c>
      <c r="E2" s="9">
        <v>100</v>
      </c>
      <c r="G2" s="14" t="s">
        <v>17</v>
      </c>
      <c r="H2" s="16">
        <f>CEILING(SUBTOTAL(4,Table1[TCP_mean])+3,1)</f>
        <v>75</v>
      </c>
      <c r="AM2">
        <v>100</v>
      </c>
      <c r="AN2">
        <v>20</v>
      </c>
      <c r="AO2">
        <v>6</v>
      </c>
      <c r="AP2">
        <v>2</v>
      </c>
      <c r="AQ2">
        <v>2</v>
      </c>
      <c r="AR2">
        <v>-5</v>
      </c>
      <c r="AS2">
        <v>0</v>
      </c>
      <c r="AT2">
        <v>1000000000</v>
      </c>
      <c r="AU2">
        <v>100</v>
      </c>
      <c r="AV2">
        <v>72</v>
      </c>
      <c r="AW2">
        <v>24.666666666699999</v>
      </c>
    </row>
    <row r="3" spans="3:49" ht="15" thickBot="1" x14ac:dyDescent="0.4">
      <c r="C3" s="7"/>
      <c r="D3" s="12" t="s">
        <v>1</v>
      </c>
      <c r="E3" s="10">
        <v>20</v>
      </c>
      <c r="G3" s="15" t="s">
        <v>18</v>
      </c>
      <c r="H3" s="17">
        <f>FLOOR(SUBTOTAL(5,Table1[TCP_mean])-3,1)</f>
        <v>47</v>
      </c>
      <c r="AO3">
        <v>8</v>
      </c>
      <c r="AR3">
        <v>-4</v>
      </c>
      <c r="AV3">
        <v>76</v>
      </c>
    </row>
    <row r="4" spans="3:49" x14ac:dyDescent="0.35">
      <c r="C4" s="7"/>
      <c r="D4" s="12" t="s">
        <v>15</v>
      </c>
      <c r="E4" s="18">
        <v>8</v>
      </c>
      <c r="AO4">
        <v>10</v>
      </c>
      <c r="AR4">
        <v>-3</v>
      </c>
      <c r="AV4">
        <v>80</v>
      </c>
    </row>
    <row r="5" spans="3:49" x14ac:dyDescent="0.35">
      <c r="C5" s="7"/>
      <c r="D5" s="12" t="s">
        <v>14</v>
      </c>
      <c r="E5" s="10">
        <v>2</v>
      </c>
      <c r="AO5">
        <v>12</v>
      </c>
      <c r="AR5">
        <v>-2</v>
      </c>
    </row>
    <row r="6" spans="3:49" x14ac:dyDescent="0.35">
      <c r="C6" s="7"/>
      <c r="D6" s="12" t="s">
        <v>4</v>
      </c>
      <c r="E6" s="10">
        <v>2</v>
      </c>
      <c r="AR6">
        <v>-1</v>
      </c>
    </row>
    <row r="7" spans="3:49" x14ac:dyDescent="0.35">
      <c r="C7" s="7"/>
      <c r="D7" s="12" t="s">
        <v>5</v>
      </c>
      <c r="E7" s="10">
        <v>0</v>
      </c>
      <c r="F7" t="s">
        <v>16</v>
      </c>
      <c r="AR7">
        <v>0</v>
      </c>
    </row>
    <row r="8" spans="3:49" x14ac:dyDescent="0.35">
      <c r="C8" s="7"/>
      <c r="D8" s="12" t="s">
        <v>6</v>
      </c>
      <c r="E8" s="10">
        <v>0</v>
      </c>
      <c r="AR8">
        <v>1</v>
      </c>
    </row>
    <row r="9" spans="3:49" x14ac:dyDescent="0.35">
      <c r="C9" s="7"/>
      <c r="D9" s="12" t="s">
        <v>7</v>
      </c>
      <c r="E9" s="10">
        <v>1000000000</v>
      </c>
      <c r="AR9">
        <v>2</v>
      </c>
    </row>
    <row r="10" spans="3:49" ht="15" thickBot="1" x14ac:dyDescent="0.4">
      <c r="C10" s="8"/>
      <c r="D10" s="13" t="s">
        <v>9</v>
      </c>
      <c r="E10" s="19">
        <v>76</v>
      </c>
      <c r="AR10">
        <v>3</v>
      </c>
    </row>
    <row r="11" spans="3:49" ht="15" thickBot="1" x14ac:dyDescent="0.4">
      <c r="AR11">
        <v>4</v>
      </c>
    </row>
    <row r="12" spans="3:49" x14ac:dyDescent="0.35">
      <c r="C12" s="2"/>
      <c r="D12" s="3" t="s">
        <v>39</v>
      </c>
      <c r="E12" s="20">
        <f>SUBTOTAL(4,Table1[TCP_mean])</f>
        <v>71.123361067810009</v>
      </c>
      <c r="AR12">
        <v>5</v>
      </c>
    </row>
    <row r="13" spans="3:49" x14ac:dyDescent="0.35">
      <c r="C13" s="4"/>
      <c r="D13" s="5" t="s">
        <v>40</v>
      </c>
      <c r="E13" s="21">
        <f>SUBTOTAL(5,Table1[TCP_mean])</f>
        <v>50.586521784840002</v>
      </c>
    </row>
    <row r="14" spans="3:49" ht="15" thickBot="1" x14ac:dyDescent="0.4">
      <c r="C14" s="22"/>
      <c r="D14" s="23" t="s">
        <v>38</v>
      </c>
      <c r="E14" s="24">
        <f>E12-E13</f>
        <v>20.536839282970007</v>
      </c>
    </row>
    <row r="18" spans="1:48" s="1" customFormat="1" x14ac:dyDescent="0.35">
      <c r="A18" s="1" t="s">
        <v>0</v>
      </c>
      <c r="B18" s="1" t="s">
        <v>1</v>
      </c>
      <c r="C18" s="1" t="s">
        <v>2</v>
      </c>
      <c r="D18" s="1" t="s">
        <v>3</v>
      </c>
      <c r="E18" s="1" t="s">
        <v>4</v>
      </c>
      <c r="F18" s="1" t="s">
        <v>5</v>
      </c>
      <c r="G18" s="1" t="s">
        <v>6</v>
      </c>
      <c r="H18" s="1" t="s">
        <v>7</v>
      </c>
      <c r="I18" s="1" t="s">
        <v>8</v>
      </c>
      <c r="J18" s="1" t="s">
        <v>9</v>
      </c>
      <c r="K18" s="1" t="s">
        <v>10</v>
      </c>
      <c r="L18" s="1" t="s">
        <v>11</v>
      </c>
      <c r="M18" s="1" t="s">
        <v>19</v>
      </c>
      <c r="N18" s="1" t="s">
        <v>20</v>
      </c>
      <c r="O18" s="1" t="s">
        <v>21</v>
      </c>
      <c r="P18" s="1" t="s">
        <v>22</v>
      </c>
      <c r="Q18" s="1" t="s">
        <v>23</v>
      </c>
      <c r="R18" s="1" t="s">
        <v>24</v>
      </c>
      <c r="S18" s="1" t="s">
        <v>25</v>
      </c>
      <c r="T18" s="1" t="s">
        <v>26</v>
      </c>
      <c r="U18" s="1" t="s">
        <v>27</v>
      </c>
      <c r="V18" s="1" t="s">
        <v>28</v>
      </c>
      <c r="W18" s="1" t="s">
        <v>29</v>
      </c>
      <c r="X18" s="1" t="s">
        <v>30</v>
      </c>
      <c r="Y18" s="1" t="s">
        <v>31</v>
      </c>
      <c r="Z18" s="1" t="s">
        <v>32</v>
      </c>
      <c r="AA18" s="1" t="s">
        <v>33</v>
      </c>
      <c r="AB18" s="1" t="s">
        <v>34</v>
      </c>
      <c r="AC18" s="1" t="s">
        <v>35</v>
      </c>
      <c r="AD18" s="1" t="s">
        <v>36</v>
      </c>
      <c r="AE18" s="1" t="s">
        <v>37</v>
      </c>
      <c r="AF18" s="1" t="s">
        <v>12</v>
      </c>
      <c r="AG18" s="1" t="s">
        <v>13</v>
      </c>
      <c r="AL18"/>
      <c r="AM18"/>
      <c r="AN18"/>
      <c r="AO18"/>
      <c r="AP18"/>
      <c r="AQ18"/>
      <c r="AR18"/>
      <c r="AS18"/>
      <c r="AT18"/>
      <c r="AU18"/>
      <c r="AV18"/>
    </row>
    <row r="19" spans="1:48" ht="15" hidden="1" customHeight="1" x14ac:dyDescent="0.35">
      <c r="A19">
        <v>100</v>
      </c>
      <c r="B19">
        <v>20</v>
      </c>
      <c r="C19">
        <v>6</v>
      </c>
      <c r="D19">
        <v>2</v>
      </c>
      <c r="E19">
        <v>2</v>
      </c>
      <c r="F19">
        <v>-5</v>
      </c>
      <c r="G19">
        <v>0</v>
      </c>
      <c r="H19">
        <v>1000000000</v>
      </c>
      <c r="I19">
        <v>100</v>
      </c>
      <c r="J19">
        <v>72</v>
      </c>
      <c r="K19">
        <v>24.666666666699999</v>
      </c>
      <c r="L19">
        <v>13.282772032</v>
      </c>
      <c r="M19">
        <v>11.9708040344</v>
      </c>
      <c r="N19">
        <v>15.9116378777</v>
      </c>
      <c r="O19">
        <v>8.1173591847999997</v>
      </c>
      <c r="P19">
        <v>9.3341602516000002</v>
      </c>
      <c r="Q19">
        <v>11.6149693856</v>
      </c>
      <c r="R19">
        <v>11.7049642932</v>
      </c>
      <c r="S19">
        <v>12.116854588600001</v>
      </c>
      <c r="T19">
        <v>13.011268681400001</v>
      </c>
      <c r="U19">
        <v>11.410244134099999</v>
      </c>
      <c r="V19">
        <v>7.7382739494499999</v>
      </c>
      <c r="W19">
        <v>12.8326879069</v>
      </c>
      <c r="X19">
        <v>6.2122711182800003</v>
      </c>
      <c r="Y19">
        <v>12.8371200759</v>
      </c>
      <c r="Z19">
        <v>19.295298568100002</v>
      </c>
      <c r="AA19">
        <v>12.437216451099999</v>
      </c>
      <c r="AB19">
        <v>13.2608958226</v>
      </c>
      <c r="AC19">
        <v>11.9133790805</v>
      </c>
      <c r="AD19">
        <v>11.9915233609</v>
      </c>
      <c r="AE19">
        <v>7.2103334706000002</v>
      </c>
      <c r="AF19">
        <f>AVERAGE(L19:AE19)</f>
        <v>11.710201713386502</v>
      </c>
      <c r="AG19">
        <f>_xlfn.STDEV.P(L19:AE19)</f>
        <v>2.9161084134086237</v>
      </c>
    </row>
    <row r="20" spans="1:48" ht="15" hidden="1" customHeight="1" x14ac:dyDescent="0.35">
      <c r="A20">
        <v>100</v>
      </c>
      <c r="B20">
        <v>20</v>
      </c>
      <c r="C20">
        <v>6</v>
      </c>
      <c r="D20">
        <v>2</v>
      </c>
      <c r="E20">
        <v>2</v>
      </c>
      <c r="F20">
        <v>-5</v>
      </c>
      <c r="G20">
        <v>0</v>
      </c>
      <c r="H20">
        <v>1000000000</v>
      </c>
      <c r="I20">
        <v>100</v>
      </c>
      <c r="J20">
        <v>76</v>
      </c>
      <c r="K20">
        <v>24.666666666699999</v>
      </c>
      <c r="L20">
        <v>17.4632053373</v>
      </c>
      <c r="M20">
        <v>17.0535280691</v>
      </c>
      <c r="N20">
        <v>12.334265053699999</v>
      </c>
      <c r="O20">
        <v>20.0325666144</v>
      </c>
      <c r="P20">
        <v>10.911427053500001</v>
      </c>
      <c r="Q20">
        <v>16.067716513099999</v>
      </c>
      <c r="R20">
        <v>17.341777990899999</v>
      </c>
      <c r="S20">
        <v>16.085831199499999</v>
      </c>
      <c r="T20">
        <v>17.178467552000001</v>
      </c>
      <c r="U20">
        <v>13.354388395599999</v>
      </c>
      <c r="V20">
        <v>13.3817725145</v>
      </c>
      <c r="W20">
        <v>16.969005170100001</v>
      </c>
      <c r="X20">
        <v>14.625058625399999</v>
      </c>
      <c r="Y20">
        <v>14.900721387600001</v>
      </c>
      <c r="Z20">
        <v>12.2531214449</v>
      </c>
      <c r="AA20">
        <v>9.4327268583099997</v>
      </c>
      <c r="AB20">
        <v>13.782583536500001</v>
      </c>
      <c r="AC20">
        <v>17.234183014900001</v>
      </c>
      <c r="AD20">
        <v>17.221905632599999</v>
      </c>
      <c r="AE20">
        <v>17.054565904099999</v>
      </c>
      <c r="AF20">
        <f t="shared" ref="AF20:AF83" si="0">AVERAGE(L20:AE20)</f>
        <v>15.233940893400497</v>
      </c>
      <c r="AG20">
        <f t="shared" ref="AG20:AG83" si="1">_xlfn.STDEV.P(L20:AE20)</f>
        <v>2.5924269824102133</v>
      </c>
    </row>
    <row r="21" spans="1:48" ht="15" hidden="1" customHeight="1" x14ac:dyDescent="0.35">
      <c r="A21">
        <v>100</v>
      </c>
      <c r="B21">
        <v>20</v>
      </c>
      <c r="C21">
        <v>6</v>
      </c>
      <c r="D21">
        <v>2</v>
      </c>
      <c r="E21">
        <v>2</v>
      </c>
      <c r="F21">
        <v>-5</v>
      </c>
      <c r="G21">
        <v>0</v>
      </c>
      <c r="H21">
        <v>1000000000</v>
      </c>
      <c r="I21">
        <v>100</v>
      </c>
      <c r="J21">
        <v>80</v>
      </c>
      <c r="K21">
        <v>24.666666666699999</v>
      </c>
      <c r="L21">
        <v>27.1923458431</v>
      </c>
      <c r="M21">
        <v>23.371379443599999</v>
      </c>
      <c r="N21">
        <v>22.361200496999999</v>
      </c>
      <c r="O21">
        <v>22.316922117600001</v>
      </c>
      <c r="P21">
        <v>23.106417882999999</v>
      </c>
      <c r="Q21">
        <v>24.6652575711</v>
      </c>
      <c r="R21">
        <v>27.592504142399999</v>
      </c>
      <c r="S21">
        <v>20.6898308474</v>
      </c>
      <c r="T21">
        <v>24.588604563299999</v>
      </c>
      <c r="U21">
        <v>22.629681399100001</v>
      </c>
      <c r="V21">
        <v>28.0061325954</v>
      </c>
      <c r="W21">
        <v>28.434976241699999</v>
      </c>
      <c r="X21">
        <v>28.943116427100001</v>
      </c>
      <c r="Y21">
        <v>18.183031618000001</v>
      </c>
      <c r="Z21">
        <v>22.368780861299999</v>
      </c>
      <c r="AA21">
        <v>20.238885030300001</v>
      </c>
      <c r="AB21">
        <v>28.616260770499999</v>
      </c>
      <c r="AC21">
        <v>22.8816303654</v>
      </c>
      <c r="AD21">
        <v>29.1744046578</v>
      </c>
      <c r="AE21">
        <v>18.952192804900001</v>
      </c>
      <c r="AF21">
        <f t="shared" si="0"/>
        <v>24.215677784</v>
      </c>
      <c r="AG21">
        <f t="shared" si="1"/>
        <v>3.377238769869181</v>
      </c>
    </row>
    <row r="22" spans="1:48" ht="15" hidden="1" customHeight="1" x14ac:dyDescent="0.35">
      <c r="A22">
        <v>100</v>
      </c>
      <c r="B22">
        <v>20</v>
      </c>
      <c r="C22">
        <v>8</v>
      </c>
      <c r="D22">
        <v>2</v>
      </c>
      <c r="E22">
        <v>2</v>
      </c>
      <c r="F22">
        <v>-5</v>
      </c>
      <c r="G22">
        <v>0</v>
      </c>
      <c r="H22">
        <v>1000000000</v>
      </c>
      <c r="I22">
        <v>100</v>
      </c>
      <c r="J22">
        <v>72</v>
      </c>
      <c r="K22">
        <v>24.666666666699999</v>
      </c>
      <c r="L22">
        <v>43.876980499200002</v>
      </c>
      <c r="M22">
        <v>46.733745970100003</v>
      </c>
      <c r="N22">
        <v>40.018822254299998</v>
      </c>
      <c r="O22">
        <v>37.211724296299998</v>
      </c>
      <c r="P22">
        <v>41.350431906700003</v>
      </c>
      <c r="Q22">
        <v>47.210863015199998</v>
      </c>
      <c r="R22">
        <v>40.649754682000001</v>
      </c>
      <c r="S22">
        <v>45.081771136900002</v>
      </c>
      <c r="T22">
        <v>37.778851162700001</v>
      </c>
      <c r="U22">
        <v>38.192613720899999</v>
      </c>
      <c r="V22">
        <v>42.847991835000002</v>
      </c>
      <c r="W22">
        <v>40.7159818266</v>
      </c>
      <c r="X22">
        <v>39.286754685299996</v>
      </c>
      <c r="Y22">
        <v>44.881017324299997</v>
      </c>
      <c r="Z22">
        <v>48.912865872099999</v>
      </c>
      <c r="AA22">
        <v>45.523706969599999</v>
      </c>
      <c r="AB22">
        <v>43.701508670499997</v>
      </c>
      <c r="AC22">
        <v>38.829334337200002</v>
      </c>
      <c r="AD22">
        <v>36.5543318649</v>
      </c>
      <c r="AE22">
        <v>38.8554964721</v>
      </c>
      <c r="AF22">
        <f t="shared" si="0"/>
        <v>41.91072742509499</v>
      </c>
      <c r="AG22">
        <f t="shared" si="1"/>
        <v>3.5676315355728478</v>
      </c>
    </row>
    <row r="23" spans="1:48" ht="15" customHeight="1" x14ac:dyDescent="0.35">
      <c r="A23">
        <v>100</v>
      </c>
      <c r="B23">
        <v>20</v>
      </c>
      <c r="C23">
        <v>8</v>
      </c>
      <c r="D23">
        <v>2</v>
      </c>
      <c r="E23">
        <v>2</v>
      </c>
      <c r="F23">
        <v>-5</v>
      </c>
      <c r="G23">
        <v>0</v>
      </c>
      <c r="H23">
        <v>1000000000</v>
      </c>
      <c r="I23">
        <v>100</v>
      </c>
      <c r="J23">
        <v>76</v>
      </c>
      <c r="K23">
        <v>24.666666666699999</v>
      </c>
      <c r="L23">
        <v>41.023065914199996</v>
      </c>
      <c r="M23">
        <v>53.159398066900003</v>
      </c>
      <c r="N23">
        <v>53.084818802500003</v>
      </c>
      <c r="O23">
        <v>49.301707674100001</v>
      </c>
      <c r="P23">
        <v>40.454589673199997</v>
      </c>
      <c r="Q23">
        <v>51.751166878200003</v>
      </c>
      <c r="R23">
        <v>52.592485899099998</v>
      </c>
      <c r="S23">
        <v>49.068406214100001</v>
      </c>
      <c r="T23">
        <v>52.797243759300002</v>
      </c>
      <c r="U23">
        <v>59.383981536100002</v>
      </c>
      <c r="V23">
        <v>47.942035074899998</v>
      </c>
      <c r="W23">
        <v>51.050718299499998</v>
      </c>
      <c r="X23">
        <v>48.870381679300003</v>
      </c>
      <c r="Y23">
        <v>45.540273438200003</v>
      </c>
      <c r="Z23">
        <v>54.621556280500002</v>
      </c>
      <c r="AA23">
        <v>50.660911137699998</v>
      </c>
      <c r="AB23">
        <v>54.112472268799998</v>
      </c>
      <c r="AC23">
        <v>54.748648230599997</v>
      </c>
      <c r="AD23">
        <v>57.202275233199998</v>
      </c>
      <c r="AE23">
        <v>44.364299636399998</v>
      </c>
      <c r="AF23">
        <f t="shared" si="0"/>
        <v>50.586521784840002</v>
      </c>
      <c r="AG23">
        <f t="shared" si="1"/>
        <v>4.8100970326157997</v>
      </c>
    </row>
    <row r="24" spans="1:48" ht="15" hidden="1" customHeight="1" x14ac:dyDescent="0.35">
      <c r="A24">
        <v>100</v>
      </c>
      <c r="B24">
        <v>20</v>
      </c>
      <c r="C24">
        <v>8</v>
      </c>
      <c r="D24">
        <v>2</v>
      </c>
      <c r="E24">
        <v>2</v>
      </c>
      <c r="F24">
        <v>-5</v>
      </c>
      <c r="G24">
        <v>0</v>
      </c>
      <c r="H24">
        <v>1000000000</v>
      </c>
      <c r="I24">
        <v>100</v>
      </c>
      <c r="J24">
        <v>80</v>
      </c>
      <c r="K24">
        <v>24.666666666699999</v>
      </c>
      <c r="L24">
        <v>61.579826909600001</v>
      </c>
      <c r="M24">
        <v>68.341634584100007</v>
      </c>
      <c r="N24">
        <v>63.466958499100002</v>
      </c>
      <c r="O24">
        <v>61.9914303913</v>
      </c>
      <c r="P24">
        <v>52.889665174100003</v>
      </c>
      <c r="Q24">
        <v>58.796048687999999</v>
      </c>
      <c r="R24">
        <v>52.6988194925</v>
      </c>
      <c r="S24">
        <v>65.530299040499997</v>
      </c>
      <c r="T24">
        <v>57.550272563500002</v>
      </c>
      <c r="U24">
        <v>58.549787893199998</v>
      </c>
      <c r="V24">
        <v>59.408667477400002</v>
      </c>
      <c r="W24">
        <v>67.929610863199997</v>
      </c>
      <c r="X24">
        <v>63.714365629900001</v>
      </c>
      <c r="Y24">
        <v>63.128318877300003</v>
      </c>
      <c r="Z24">
        <v>62.250343237099997</v>
      </c>
      <c r="AA24">
        <v>58.520328950900002</v>
      </c>
      <c r="AB24">
        <v>51.612842677700002</v>
      </c>
      <c r="AC24">
        <v>66.977908445599994</v>
      </c>
      <c r="AD24">
        <v>53.972082842500001</v>
      </c>
      <c r="AE24">
        <v>58.3012669624</v>
      </c>
      <c r="AF24">
        <f t="shared" si="0"/>
        <v>60.360523959994985</v>
      </c>
      <c r="AG24">
        <f t="shared" si="1"/>
        <v>4.9080989624625451</v>
      </c>
    </row>
    <row r="25" spans="1:48" hidden="1" x14ac:dyDescent="0.35">
      <c r="A25">
        <v>100</v>
      </c>
      <c r="B25">
        <v>20</v>
      </c>
      <c r="C25">
        <v>10</v>
      </c>
      <c r="D25">
        <v>2</v>
      </c>
      <c r="E25">
        <v>2</v>
      </c>
      <c r="F25">
        <v>-5</v>
      </c>
      <c r="G25">
        <v>0</v>
      </c>
      <c r="H25">
        <v>1000000000</v>
      </c>
      <c r="I25">
        <v>100</v>
      </c>
      <c r="J25">
        <v>72</v>
      </c>
      <c r="K25">
        <v>24.666666666699999</v>
      </c>
      <c r="L25">
        <v>80.673008496600005</v>
      </c>
      <c r="M25">
        <v>78.736542640099998</v>
      </c>
      <c r="N25">
        <v>77.073206198199998</v>
      </c>
      <c r="O25">
        <v>76.652521228400005</v>
      </c>
      <c r="P25">
        <v>73.457326902000005</v>
      </c>
      <c r="Q25">
        <v>75.767821517800002</v>
      </c>
      <c r="R25">
        <v>73.292058315600002</v>
      </c>
      <c r="S25">
        <v>76.421902666600005</v>
      </c>
      <c r="T25">
        <v>80.468142402400005</v>
      </c>
      <c r="U25">
        <v>84.396315428299999</v>
      </c>
      <c r="V25">
        <v>80.1255167443</v>
      </c>
      <c r="W25">
        <v>79.235235033600006</v>
      </c>
      <c r="X25">
        <v>72.848048458099996</v>
      </c>
      <c r="Y25">
        <v>78.957283503699998</v>
      </c>
      <c r="Z25">
        <v>81.258873683499999</v>
      </c>
      <c r="AA25">
        <v>75.943450847899996</v>
      </c>
      <c r="AB25">
        <v>81.434511626700001</v>
      </c>
      <c r="AC25">
        <v>77.231413253499994</v>
      </c>
      <c r="AD25">
        <v>77.397855296299994</v>
      </c>
      <c r="AE25">
        <v>72.089356361100002</v>
      </c>
      <c r="AF25">
        <f t="shared" si="0"/>
        <v>77.673019530234995</v>
      </c>
      <c r="AG25">
        <f t="shared" si="1"/>
        <v>3.1744222477050439</v>
      </c>
    </row>
    <row r="26" spans="1:48" hidden="1" x14ac:dyDescent="0.35">
      <c r="A26">
        <v>100</v>
      </c>
      <c r="B26">
        <v>20</v>
      </c>
      <c r="C26">
        <v>10</v>
      </c>
      <c r="D26">
        <v>2</v>
      </c>
      <c r="E26">
        <v>2</v>
      </c>
      <c r="F26">
        <v>-5</v>
      </c>
      <c r="G26">
        <v>0</v>
      </c>
      <c r="H26">
        <v>1000000000</v>
      </c>
      <c r="I26">
        <v>100</v>
      </c>
      <c r="J26">
        <v>76</v>
      </c>
      <c r="K26">
        <v>24.666666666699999</v>
      </c>
      <c r="L26">
        <v>83.533042929299995</v>
      </c>
      <c r="M26">
        <v>80.3984665511</v>
      </c>
      <c r="N26">
        <v>83.829119287500006</v>
      </c>
      <c r="O26">
        <v>84.415494052400007</v>
      </c>
      <c r="P26">
        <v>83.160132248699995</v>
      </c>
      <c r="Q26">
        <v>74.270444491600003</v>
      </c>
      <c r="R26">
        <v>79.756279673700007</v>
      </c>
      <c r="S26">
        <v>84.649958025999993</v>
      </c>
      <c r="T26">
        <v>87.574600907999994</v>
      </c>
      <c r="U26">
        <v>83.271309912199996</v>
      </c>
      <c r="V26">
        <v>85.367117821199997</v>
      </c>
      <c r="W26">
        <v>80.699293410799996</v>
      </c>
      <c r="X26">
        <v>80.411726124599994</v>
      </c>
      <c r="Y26">
        <v>84.759687761999999</v>
      </c>
      <c r="Z26">
        <v>77.578150355000005</v>
      </c>
      <c r="AA26">
        <v>82.393851084199994</v>
      </c>
      <c r="AB26">
        <v>84.933564328000003</v>
      </c>
      <c r="AC26">
        <v>78.066700353000002</v>
      </c>
      <c r="AD26">
        <v>88.137796345400005</v>
      </c>
      <c r="AE26">
        <v>81.1079497514</v>
      </c>
      <c r="AF26">
        <f t="shared" si="0"/>
        <v>82.415734270804975</v>
      </c>
      <c r="AG26">
        <f t="shared" si="1"/>
        <v>3.3309176204982816</v>
      </c>
    </row>
    <row r="27" spans="1:48" hidden="1" x14ac:dyDescent="0.35">
      <c r="A27">
        <v>100</v>
      </c>
      <c r="B27">
        <v>20</v>
      </c>
      <c r="C27">
        <v>10</v>
      </c>
      <c r="D27">
        <v>2</v>
      </c>
      <c r="E27">
        <v>2</v>
      </c>
      <c r="F27">
        <v>-5</v>
      </c>
      <c r="G27">
        <v>0</v>
      </c>
      <c r="H27">
        <v>1000000000</v>
      </c>
      <c r="I27">
        <v>100</v>
      </c>
      <c r="J27">
        <v>80</v>
      </c>
      <c r="K27">
        <v>24.666666666699999</v>
      </c>
      <c r="L27">
        <v>86.351638484700004</v>
      </c>
      <c r="M27">
        <v>90.100614405100004</v>
      </c>
      <c r="N27">
        <v>87.120964930100001</v>
      </c>
      <c r="O27">
        <v>89.334644185800002</v>
      </c>
      <c r="P27">
        <v>91.368283874100001</v>
      </c>
      <c r="Q27">
        <v>89.564752294499996</v>
      </c>
      <c r="R27">
        <v>85.129199592500001</v>
      </c>
      <c r="S27">
        <v>85.007836211500006</v>
      </c>
      <c r="T27">
        <v>86.133529794400005</v>
      </c>
      <c r="U27">
        <v>88.223527249100002</v>
      </c>
      <c r="V27">
        <v>88.663128984699995</v>
      </c>
      <c r="W27">
        <v>86.922147323100006</v>
      </c>
      <c r="X27">
        <v>85.650118273999993</v>
      </c>
      <c r="Y27">
        <v>86.179419170399996</v>
      </c>
      <c r="Z27">
        <v>92.738694495399997</v>
      </c>
      <c r="AA27">
        <v>84.5857852826</v>
      </c>
      <c r="AB27">
        <v>95.5364485562</v>
      </c>
      <c r="AC27">
        <v>90.354994233599996</v>
      </c>
      <c r="AD27">
        <v>82.396827231100005</v>
      </c>
      <c r="AE27">
        <v>88.855246756</v>
      </c>
      <c r="AF27">
        <f t="shared" si="0"/>
        <v>88.010890066445</v>
      </c>
      <c r="AG27">
        <f t="shared" si="1"/>
        <v>3.0267505891820394</v>
      </c>
    </row>
    <row r="28" spans="1:48" ht="15" hidden="1" customHeight="1" x14ac:dyDescent="0.35">
      <c r="A28">
        <v>100</v>
      </c>
      <c r="B28">
        <v>20</v>
      </c>
      <c r="C28">
        <v>12</v>
      </c>
      <c r="D28">
        <v>2</v>
      </c>
      <c r="E28">
        <v>2</v>
      </c>
      <c r="F28">
        <v>-5</v>
      </c>
      <c r="G28">
        <v>0</v>
      </c>
      <c r="H28">
        <v>1000000000</v>
      </c>
      <c r="I28">
        <v>100</v>
      </c>
      <c r="J28">
        <v>72</v>
      </c>
      <c r="K28">
        <v>24.666666666699999</v>
      </c>
      <c r="L28">
        <v>97.588577471799994</v>
      </c>
      <c r="M28">
        <v>95.703562887299995</v>
      </c>
      <c r="N28">
        <v>95.189712016499996</v>
      </c>
      <c r="O28">
        <v>96.685757409700003</v>
      </c>
      <c r="P28">
        <v>95.411918048800004</v>
      </c>
      <c r="Q28">
        <v>94.812517319700007</v>
      </c>
      <c r="R28">
        <v>95.921402287299998</v>
      </c>
      <c r="S28">
        <v>95.386274985699998</v>
      </c>
      <c r="T28">
        <v>95.907166740600005</v>
      </c>
      <c r="U28">
        <v>96.946588132900004</v>
      </c>
      <c r="V28">
        <v>95.4733812841</v>
      </c>
      <c r="W28">
        <v>95.878928039900003</v>
      </c>
      <c r="X28">
        <v>96.554979076500004</v>
      </c>
      <c r="Y28">
        <v>95.085435202799999</v>
      </c>
      <c r="Z28">
        <v>96.832148071199995</v>
      </c>
      <c r="AA28">
        <v>96.3653809626</v>
      </c>
      <c r="AB28">
        <v>97.119704364100002</v>
      </c>
      <c r="AC28">
        <v>95.575027130300001</v>
      </c>
      <c r="AD28">
        <v>93.763292812100005</v>
      </c>
      <c r="AE28">
        <v>94.068026372299997</v>
      </c>
      <c r="AF28">
        <f t="shared" si="0"/>
        <v>95.813489030810004</v>
      </c>
      <c r="AG28">
        <f t="shared" si="1"/>
        <v>0.96223972567835214</v>
      </c>
    </row>
    <row r="29" spans="1:48" ht="15" hidden="1" customHeight="1" x14ac:dyDescent="0.35">
      <c r="A29">
        <v>100</v>
      </c>
      <c r="B29">
        <v>20</v>
      </c>
      <c r="C29">
        <v>12</v>
      </c>
      <c r="D29">
        <v>2</v>
      </c>
      <c r="E29">
        <v>2</v>
      </c>
      <c r="F29">
        <v>-5</v>
      </c>
      <c r="G29">
        <v>0</v>
      </c>
      <c r="H29">
        <v>1000000000</v>
      </c>
      <c r="I29">
        <v>100</v>
      </c>
      <c r="J29">
        <v>76</v>
      </c>
      <c r="K29">
        <v>24.666666666699999</v>
      </c>
      <c r="L29">
        <v>98.573238358899999</v>
      </c>
      <c r="M29">
        <v>99.119507734899997</v>
      </c>
      <c r="N29">
        <v>97.838011843700002</v>
      </c>
      <c r="O29">
        <v>98.438809764200002</v>
      </c>
      <c r="P29">
        <v>97.4098528106</v>
      </c>
      <c r="Q29">
        <v>97.350898865999994</v>
      </c>
      <c r="R29">
        <v>97.264375618100004</v>
      </c>
      <c r="S29">
        <v>98.2447945073</v>
      </c>
      <c r="T29">
        <v>95.059796346200002</v>
      </c>
      <c r="U29">
        <v>97.240385951099995</v>
      </c>
      <c r="V29">
        <v>97.905773000400004</v>
      </c>
      <c r="W29">
        <v>95.683595131299995</v>
      </c>
      <c r="X29">
        <v>96.8456809236</v>
      </c>
      <c r="Y29">
        <v>97.473512179699995</v>
      </c>
      <c r="Z29">
        <v>96.096566041900005</v>
      </c>
      <c r="AA29">
        <v>95.525723794399994</v>
      </c>
      <c r="AB29">
        <v>96.599235339700002</v>
      </c>
      <c r="AC29">
        <v>96.894688597799998</v>
      </c>
      <c r="AD29">
        <v>96.893893190300005</v>
      </c>
      <c r="AE29">
        <v>97.347570892700006</v>
      </c>
      <c r="AF29">
        <f t="shared" si="0"/>
        <v>97.190295544640009</v>
      </c>
      <c r="AG29">
        <f t="shared" si="1"/>
        <v>1.0208599113254329</v>
      </c>
    </row>
    <row r="30" spans="1:48" ht="15" hidden="1" customHeight="1" x14ac:dyDescent="0.35">
      <c r="A30">
        <v>100</v>
      </c>
      <c r="B30">
        <v>20</v>
      </c>
      <c r="C30">
        <v>12</v>
      </c>
      <c r="D30">
        <v>2</v>
      </c>
      <c r="E30">
        <v>2</v>
      </c>
      <c r="F30">
        <v>-5</v>
      </c>
      <c r="G30">
        <v>0</v>
      </c>
      <c r="H30">
        <v>1000000000</v>
      </c>
      <c r="I30">
        <v>100</v>
      </c>
      <c r="J30">
        <v>80</v>
      </c>
      <c r="K30">
        <v>24.666666666699999</v>
      </c>
      <c r="L30">
        <v>98.664215227100001</v>
      </c>
      <c r="M30">
        <v>98.425513207999998</v>
      </c>
      <c r="N30">
        <v>98.382286071099998</v>
      </c>
      <c r="O30">
        <v>97.871706712000005</v>
      </c>
      <c r="P30">
        <v>98.7984599742</v>
      </c>
      <c r="Q30">
        <v>99.680584468600003</v>
      </c>
      <c r="R30">
        <v>98.492185541200001</v>
      </c>
      <c r="S30">
        <v>98.818116586800002</v>
      </c>
      <c r="T30">
        <v>98.738777310200007</v>
      </c>
      <c r="U30">
        <v>97.128436760100001</v>
      </c>
      <c r="V30">
        <v>99.114820336799994</v>
      </c>
      <c r="W30">
        <v>98.055846590300007</v>
      </c>
      <c r="X30">
        <v>98.899162550400007</v>
      </c>
      <c r="Y30">
        <v>97.400624783500007</v>
      </c>
      <c r="Z30">
        <v>98.350650826899994</v>
      </c>
      <c r="AA30">
        <v>99.390311220399994</v>
      </c>
      <c r="AB30">
        <v>97.489444354699998</v>
      </c>
      <c r="AC30">
        <v>99.538224657499995</v>
      </c>
      <c r="AD30">
        <v>99.775850642600005</v>
      </c>
      <c r="AE30">
        <v>99.373148529999995</v>
      </c>
      <c r="AF30">
        <f t="shared" si="0"/>
        <v>98.619418317620003</v>
      </c>
      <c r="AG30">
        <f t="shared" si="1"/>
        <v>0.73911214891661459</v>
      </c>
    </row>
    <row r="31" spans="1:48" ht="15" hidden="1" customHeight="1" x14ac:dyDescent="0.35">
      <c r="A31">
        <v>100</v>
      </c>
      <c r="B31">
        <v>20</v>
      </c>
      <c r="C31">
        <v>6</v>
      </c>
      <c r="D31">
        <v>2</v>
      </c>
      <c r="E31">
        <v>2</v>
      </c>
      <c r="F31">
        <v>-4</v>
      </c>
      <c r="G31">
        <v>0</v>
      </c>
      <c r="H31">
        <v>1000000000</v>
      </c>
      <c r="I31">
        <v>100</v>
      </c>
      <c r="J31">
        <v>72</v>
      </c>
      <c r="K31">
        <v>24.666666666699999</v>
      </c>
      <c r="L31">
        <v>7.9323185047799996</v>
      </c>
      <c r="M31">
        <v>19.900169584</v>
      </c>
      <c r="N31">
        <v>9.2944309063600006</v>
      </c>
      <c r="O31">
        <v>14.8527905968</v>
      </c>
      <c r="P31">
        <v>13.326311388200001</v>
      </c>
      <c r="Q31">
        <v>12.4208682474</v>
      </c>
      <c r="R31">
        <v>15.9529699301</v>
      </c>
      <c r="S31">
        <v>13.5090637805</v>
      </c>
      <c r="T31">
        <v>14.9089086621</v>
      </c>
      <c r="U31">
        <v>12.9023813638</v>
      </c>
      <c r="V31">
        <v>14.1679070028</v>
      </c>
      <c r="W31">
        <v>16.6054150105</v>
      </c>
      <c r="X31">
        <v>15.331792717200001</v>
      </c>
      <c r="Y31">
        <v>17.907310412800001</v>
      </c>
      <c r="Z31">
        <v>14.1906474936</v>
      </c>
      <c r="AA31">
        <v>17.6359100994</v>
      </c>
      <c r="AB31">
        <v>8.9320981497100007</v>
      </c>
      <c r="AC31">
        <v>12.9319870251</v>
      </c>
      <c r="AD31">
        <v>17.1174405786</v>
      </c>
      <c r="AE31">
        <v>16.765128206899998</v>
      </c>
      <c r="AF31">
        <f t="shared" si="0"/>
        <v>14.3292924830325</v>
      </c>
      <c r="AG31">
        <f t="shared" si="1"/>
        <v>3.0221283257070919</v>
      </c>
    </row>
    <row r="32" spans="1:48" ht="15" hidden="1" customHeight="1" x14ac:dyDescent="0.35">
      <c r="A32">
        <v>100</v>
      </c>
      <c r="B32">
        <v>20</v>
      </c>
      <c r="C32">
        <v>6</v>
      </c>
      <c r="D32">
        <v>2</v>
      </c>
      <c r="E32">
        <v>2</v>
      </c>
      <c r="F32">
        <v>-4</v>
      </c>
      <c r="G32">
        <v>0</v>
      </c>
      <c r="H32">
        <v>1000000000</v>
      </c>
      <c r="I32">
        <v>100</v>
      </c>
      <c r="J32">
        <v>76</v>
      </c>
      <c r="K32">
        <v>24.666666666699999</v>
      </c>
      <c r="L32">
        <v>21.906038349599999</v>
      </c>
      <c r="M32">
        <v>21.0066991568</v>
      </c>
      <c r="N32">
        <v>19.5028267906</v>
      </c>
      <c r="O32">
        <v>21.688078083200001</v>
      </c>
      <c r="P32">
        <v>23.004901733299999</v>
      </c>
      <c r="Q32">
        <v>24.464031881899999</v>
      </c>
      <c r="R32">
        <v>19.8963056483</v>
      </c>
      <c r="S32">
        <v>23.169572029899999</v>
      </c>
      <c r="T32">
        <v>19.995623224500001</v>
      </c>
      <c r="U32">
        <v>14.5980709645</v>
      </c>
      <c r="V32">
        <v>11.0539834213</v>
      </c>
      <c r="W32">
        <v>20.842409594999999</v>
      </c>
      <c r="X32">
        <v>20.869043208099999</v>
      </c>
      <c r="Y32">
        <v>19.241939439500001</v>
      </c>
      <c r="Z32">
        <v>14.8334091953</v>
      </c>
      <c r="AA32">
        <v>20.4821741387</v>
      </c>
      <c r="AB32">
        <v>21.0451893951</v>
      </c>
      <c r="AC32">
        <v>25.0458732156</v>
      </c>
      <c r="AD32">
        <v>17.255388948499998</v>
      </c>
      <c r="AE32">
        <v>10.9386369169</v>
      </c>
      <c r="AF32">
        <f t="shared" si="0"/>
        <v>19.542009766830002</v>
      </c>
      <c r="AG32">
        <f t="shared" si="1"/>
        <v>3.8531434119369048</v>
      </c>
    </row>
    <row r="33" spans="1:33" ht="15" hidden="1" customHeight="1" x14ac:dyDescent="0.35">
      <c r="A33">
        <v>100</v>
      </c>
      <c r="B33">
        <v>20</v>
      </c>
      <c r="C33">
        <v>6</v>
      </c>
      <c r="D33">
        <v>2</v>
      </c>
      <c r="E33">
        <v>2</v>
      </c>
      <c r="F33">
        <v>-4</v>
      </c>
      <c r="G33">
        <v>0</v>
      </c>
      <c r="H33">
        <v>1000000000</v>
      </c>
      <c r="I33">
        <v>100</v>
      </c>
      <c r="J33">
        <v>80</v>
      </c>
      <c r="K33">
        <v>24.666666666699999</v>
      </c>
      <c r="L33">
        <v>27.417701493999999</v>
      </c>
      <c r="M33">
        <v>22.5349448019</v>
      </c>
      <c r="N33">
        <v>27.295029140899999</v>
      </c>
      <c r="O33">
        <v>28.313816693700002</v>
      </c>
      <c r="P33">
        <v>22.8732728198</v>
      </c>
      <c r="Q33">
        <v>22.436565481900001</v>
      </c>
      <c r="R33">
        <v>31.100556642499999</v>
      </c>
      <c r="S33">
        <v>20.923821695699999</v>
      </c>
      <c r="T33">
        <v>31.1395165713</v>
      </c>
      <c r="U33">
        <v>24.652102576099999</v>
      </c>
      <c r="V33">
        <v>24.496012965399999</v>
      </c>
      <c r="W33">
        <v>22.489200392000001</v>
      </c>
      <c r="X33">
        <v>25.4151486234</v>
      </c>
      <c r="Y33">
        <v>20.149122692399999</v>
      </c>
      <c r="Z33">
        <v>25.388744152600001</v>
      </c>
      <c r="AA33">
        <v>28.718543892300001</v>
      </c>
      <c r="AB33">
        <v>32.5884062214</v>
      </c>
      <c r="AC33">
        <v>28.998384693599998</v>
      </c>
      <c r="AD33">
        <v>21.144411163600001</v>
      </c>
      <c r="AE33">
        <v>22.635002201100001</v>
      </c>
      <c r="AF33">
        <f t="shared" si="0"/>
        <v>25.535515245779997</v>
      </c>
      <c r="AG33">
        <f t="shared" si="1"/>
        <v>3.6293636118232788</v>
      </c>
    </row>
    <row r="34" spans="1:33" ht="15" hidden="1" customHeight="1" x14ac:dyDescent="0.35">
      <c r="A34">
        <v>100</v>
      </c>
      <c r="B34">
        <v>20</v>
      </c>
      <c r="C34">
        <v>8</v>
      </c>
      <c r="D34">
        <v>2</v>
      </c>
      <c r="E34">
        <v>2</v>
      </c>
      <c r="F34">
        <v>-4</v>
      </c>
      <c r="G34">
        <v>0</v>
      </c>
      <c r="H34">
        <v>1000000000</v>
      </c>
      <c r="I34">
        <v>100</v>
      </c>
      <c r="J34">
        <v>72</v>
      </c>
      <c r="K34">
        <v>24.666666666699999</v>
      </c>
      <c r="L34">
        <v>47.252785162599999</v>
      </c>
      <c r="M34">
        <v>41.311720798800003</v>
      </c>
      <c r="N34">
        <v>41.904702319800002</v>
      </c>
      <c r="O34">
        <v>48.353261368200002</v>
      </c>
      <c r="P34">
        <v>38.411062921599999</v>
      </c>
      <c r="Q34">
        <v>45.210559123899998</v>
      </c>
      <c r="R34">
        <v>45.8628169598</v>
      </c>
      <c r="S34">
        <v>49.485664435099999</v>
      </c>
      <c r="T34">
        <v>44.498735221700002</v>
      </c>
      <c r="U34">
        <v>48.4357809475</v>
      </c>
      <c r="V34">
        <v>38.197822412500003</v>
      </c>
      <c r="W34">
        <v>40.912112349399997</v>
      </c>
      <c r="X34">
        <v>46.098844981600003</v>
      </c>
      <c r="Y34">
        <v>47.784960976100002</v>
      </c>
      <c r="Z34">
        <v>42.969281218200003</v>
      </c>
      <c r="AA34">
        <v>43.0832390932</v>
      </c>
      <c r="AB34">
        <v>44.243617217199997</v>
      </c>
      <c r="AC34">
        <v>46.596186008499998</v>
      </c>
      <c r="AD34">
        <v>40.872212767400001</v>
      </c>
      <c r="AE34">
        <v>45.4974458867</v>
      </c>
      <c r="AF34">
        <f t="shared" si="0"/>
        <v>44.349140608490004</v>
      </c>
      <c r="AG34">
        <f t="shared" si="1"/>
        <v>3.2214821636976811</v>
      </c>
    </row>
    <row r="35" spans="1:33" ht="15" customHeight="1" x14ac:dyDescent="0.35">
      <c r="A35">
        <v>100</v>
      </c>
      <c r="B35">
        <v>20</v>
      </c>
      <c r="C35">
        <v>8</v>
      </c>
      <c r="D35">
        <v>2</v>
      </c>
      <c r="E35">
        <v>2</v>
      </c>
      <c r="F35">
        <v>-4</v>
      </c>
      <c r="G35">
        <v>0</v>
      </c>
      <c r="H35">
        <v>1000000000</v>
      </c>
      <c r="I35">
        <v>100</v>
      </c>
      <c r="J35">
        <v>76</v>
      </c>
      <c r="K35">
        <v>24.666666666699999</v>
      </c>
      <c r="L35">
        <v>50.524262933300001</v>
      </c>
      <c r="M35">
        <v>55.758165787099998</v>
      </c>
      <c r="N35">
        <v>55.1745278442</v>
      </c>
      <c r="O35">
        <v>48.7485941622</v>
      </c>
      <c r="P35">
        <v>56.132936175399998</v>
      </c>
      <c r="Q35">
        <v>52.292571045800003</v>
      </c>
      <c r="R35">
        <v>56.859288644400003</v>
      </c>
      <c r="S35">
        <v>59.244085198199997</v>
      </c>
      <c r="T35">
        <v>55.580593513300002</v>
      </c>
      <c r="U35">
        <v>56.184581831499997</v>
      </c>
      <c r="V35">
        <v>49.7143565147</v>
      </c>
      <c r="W35">
        <v>46.583477376499999</v>
      </c>
      <c r="X35">
        <v>50.229879864899999</v>
      </c>
      <c r="Y35">
        <v>54.1058455067</v>
      </c>
      <c r="Z35">
        <v>58.808399203100002</v>
      </c>
      <c r="AA35">
        <v>59.166265490299999</v>
      </c>
      <c r="AB35">
        <v>57.401417336000002</v>
      </c>
      <c r="AC35">
        <v>57.1501676042</v>
      </c>
      <c r="AD35">
        <v>53.260507338700002</v>
      </c>
      <c r="AE35">
        <v>52.988854082300001</v>
      </c>
      <c r="AF35">
        <f t="shared" si="0"/>
        <v>54.295438872639991</v>
      </c>
      <c r="AG35">
        <f t="shared" si="1"/>
        <v>3.5585416739265714</v>
      </c>
    </row>
    <row r="36" spans="1:33" ht="15" hidden="1" customHeight="1" x14ac:dyDescent="0.35">
      <c r="A36">
        <v>100</v>
      </c>
      <c r="B36">
        <v>20</v>
      </c>
      <c r="C36">
        <v>8</v>
      </c>
      <c r="D36">
        <v>2</v>
      </c>
      <c r="E36">
        <v>2</v>
      </c>
      <c r="F36">
        <v>-4</v>
      </c>
      <c r="G36">
        <v>0</v>
      </c>
      <c r="H36">
        <v>1000000000</v>
      </c>
      <c r="I36">
        <v>100</v>
      </c>
      <c r="J36">
        <v>80</v>
      </c>
      <c r="K36">
        <v>24.666666666699999</v>
      </c>
      <c r="L36">
        <v>64.3990226791</v>
      </c>
      <c r="M36">
        <v>69.501513190599994</v>
      </c>
      <c r="N36">
        <v>66.935207420799998</v>
      </c>
      <c r="O36">
        <v>63.6832875821</v>
      </c>
      <c r="P36">
        <v>67.607739515700004</v>
      </c>
      <c r="Q36">
        <v>64.405883589300004</v>
      </c>
      <c r="R36">
        <v>61.975423471699997</v>
      </c>
      <c r="S36">
        <v>64.664605879099994</v>
      </c>
      <c r="T36">
        <v>60.377861265900002</v>
      </c>
      <c r="U36">
        <v>58.1100284977</v>
      </c>
      <c r="V36">
        <v>61.763122913399997</v>
      </c>
      <c r="W36">
        <v>63.835286507100001</v>
      </c>
      <c r="X36">
        <v>60.610391691399997</v>
      </c>
      <c r="Y36">
        <v>65.099864322399995</v>
      </c>
      <c r="Z36">
        <v>57.776109656400003</v>
      </c>
      <c r="AA36">
        <v>64.838956075799999</v>
      </c>
      <c r="AB36">
        <v>64.820262832200001</v>
      </c>
      <c r="AC36">
        <v>61.199534478099999</v>
      </c>
      <c r="AD36">
        <v>51.803391762300002</v>
      </c>
      <c r="AE36">
        <v>62.586963468100002</v>
      </c>
      <c r="AF36">
        <f t="shared" si="0"/>
        <v>62.799722839959998</v>
      </c>
      <c r="AG36">
        <f t="shared" si="1"/>
        <v>3.8229636270803633</v>
      </c>
    </row>
    <row r="37" spans="1:33" hidden="1" x14ac:dyDescent="0.35">
      <c r="A37">
        <v>100</v>
      </c>
      <c r="B37">
        <v>20</v>
      </c>
      <c r="C37">
        <v>10</v>
      </c>
      <c r="D37">
        <v>2</v>
      </c>
      <c r="E37">
        <v>2</v>
      </c>
      <c r="F37">
        <v>-4</v>
      </c>
      <c r="G37">
        <v>0</v>
      </c>
      <c r="H37">
        <v>1000000000</v>
      </c>
      <c r="I37">
        <v>100</v>
      </c>
      <c r="J37">
        <v>72</v>
      </c>
      <c r="K37">
        <v>24.666666666699999</v>
      </c>
      <c r="L37">
        <v>79.471733379300005</v>
      </c>
      <c r="M37">
        <v>73.733694488300003</v>
      </c>
      <c r="N37">
        <v>79.697702773499998</v>
      </c>
      <c r="O37">
        <v>80.457536105200006</v>
      </c>
      <c r="P37">
        <v>82.359967344899999</v>
      </c>
      <c r="Q37">
        <v>80.762772068100006</v>
      </c>
      <c r="R37">
        <v>79.173810132499995</v>
      </c>
      <c r="S37">
        <v>80.297198721699999</v>
      </c>
      <c r="T37">
        <v>79.071109436200004</v>
      </c>
      <c r="U37">
        <v>79.233503556499997</v>
      </c>
      <c r="V37">
        <v>76.549659677600005</v>
      </c>
      <c r="W37">
        <v>81.8697877038</v>
      </c>
      <c r="X37">
        <v>73.407382098100001</v>
      </c>
      <c r="Y37">
        <v>75.957819135700007</v>
      </c>
      <c r="Z37">
        <v>76.868410699400002</v>
      </c>
      <c r="AA37">
        <v>74.461504031800004</v>
      </c>
      <c r="AB37">
        <v>74.072530628300001</v>
      </c>
      <c r="AC37">
        <v>81.391138647399998</v>
      </c>
      <c r="AD37">
        <v>69.922303553299997</v>
      </c>
      <c r="AE37">
        <v>79.101471721799996</v>
      </c>
      <c r="AF37">
        <f t="shared" si="0"/>
        <v>77.89305179517001</v>
      </c>
      <c r="AG37">
        <f t="shared" si="1"/>
        <v>3.2753347614146784</v>
      </c>
    </row>
    <row r="38" spans="1:33" hidden="1" x14ac:dyDescent="0.35">
      <c r="A38">
        <v>100</v>
      </c>
      <c r="B38">
        <v>20</v>
      </c>
      <c r="C38">
        <v>10</v>
      </c>
      <c r="D38">
        <v>2</v>
      </c>
      <c r="E38">
        <v>2</v>
      </c>
      <c r="F38">
        <v>-4</v>
      </c>
      <c r="G38">
        <v>0</v>
      </c>
      <c r="H38">
        <v>1000000000</v>
      </c>
      <c r="I38">
        <v>100</v>
      </c>
      <c r="J38">
        <v>76</v>
      </c>
      <c r="K38">
        <v>24.666666666699999</v>
      </c>
      <c r="L38">
        <v>80.397424847699995</v>
      </c>
      <c r="M38">
        <v>84.521705490100004</v>
      </c>
      <c r="N38">
        <v>87.977489247600005</v>
      </c>
      <c r="O38">
        <v>89.234546896799998</v>
      </c>
      <c r="P38">
        <v>82.490493816899999</v>
      </c>
      <c r="Q38">
        <v>85.812241592999996</v>
      </c>
      <c r="R38">
        <v>82.689610209700007</v>
      </c>
      <c r="S38">
        <v>90.606734127099998</v>
      </c>
      <c r="T38">
        <v>89.225790038499994</v>
      </c>
      <c r="U38">
        <v>79.478048271999995</v>
      </c>
      <c r="V38">
        <v>87.065652649499995</v>
      </c>
      <c r="W38">
        <v>85.3623845316</v>
      </c>
      <c r="X38">
        <v>83.253536567300003</v>
      </c>
      <c r="Y38">
        <v>83.459710358699994</v>
      </c>
      <c r="Z38">
        <v>91.830386157199996</v>
      </c>
      <c r="AA38">
        <v>85.545791241700002</v>
      </c>
      <c r="AB38">
        <v>91.029398734699996</v>
      </c>
      <c r="AC38">
        <v>89.944434100799995</v>
      </c>
      <c r="AD38">
        <v>84.624798985300004</v>
      </c>
      <c r="AE38">
        <v>82.589210469999998</v>
      </c>
      <c r="AF38">
        <f t="shared" si="0"/>
        <v>85.856969416809989</v>
      </c>
      <c r="AG38">
        <f t="shared" si="1"/>
        <v>3.5293627835381129</v>
      </c>
    </row>
    <row r="39" spans="1:33" hidden="1" x14ac:dyDescent="0.35">
      <c r="A39">
        <v>100</v>
      </c>
      <c r="B39">
        <v>20</v>
      </c>
      <c r="C39">
        <v>10</v>
      </c>
      <c r="D39">
        <v>2</v>
      </c>
      <c r="E39">
        <v>2</v>
      </c>
      <c r="F39">
        <v>-4</v>
      </c>
      <c r="G39">
        <v>0</v>
      </c>
      <c r="H39">
        <v>1000000000</v>
      </c>
      <c r="I39">
        <v>100</v>
      </c>
      <c r="J39">
        <v>80</v>
      </c>
      <c r="K39">
        <v>24.666666666699999</v>
      </c>
      <c r="L39">
        <v>89.741805335600006</v>
      </c>
      <c r="M39">
        <v>88.341802907300007</v>
      </c>
      <c r="N39">
        <v>90.721230119300003</v>
      </c>
      <c r="O39">
        <v>91.621581539000005</v>
      </c>
      <c r="P39">
        <v>91.597576645900006</v>
      </c>
      <c r="Q39">
        <v>86.882568418800005</v>
      </c>
      <c r="R39">
        <v>85.667586896700001</v>
      </c>
      <c r="S39">
        <v>91.887116680600002</v>
      </c>
      <c r="T39">
        <v>94.559041063099997</v>
      </c>
      <c r="U39">
        <v>90.792501028700002</v>
      </c>
      <c r="V39">
        <v>89.570737717100002</v>
      </c>
      <c r="W39">
        <v>96.113835568100001</v>
      </c>
      <c r="X39">
        <v>88.392402887599999</v>
      </c>
      <c r="Y39">
        <v>85.207575891999994</v>
      </c>
      <c r="Z39">
        <v>92.462157529199999</v>
      </c>
      <c r="AA39">
        <v>92.845725775800005</v>
      </c>
      <c r="AB39">
        <v>91.742718104100007</v>
      </c>
      <c r="AC39">
        <v>90.380581153500003</v>
      </c>
      <c r="AD39">
        <v>93.080653584299995</v>
      </c>
      <c r="AE39">
        <v>89.063492864699995</v>
      </c>
      <c r="AF39">
        <f t="shared" si="0"/>
        <v>90.533634585570013</v>
      </c>
      <c r="AG39">
        <f t="shared" si="1"/>
        <v>2.7121018157782726</v>
      </c>
    </row>
    <row r="40" spans="1:33" ht="15" hidden="1" customHeight="1" x14ac:dyDescent="0.35">
      <c r="A40">
        <v>100</v>
      </c>
      <c r="B40">
        <v>20</v>
      </c>
      <c r="C40">
        <v>12</v>
      </c>
      <c r="D40">
        <v>2</v>
      </c>
      <c r="E40">
        <v>2</v>
      </c>
      <c r="F40">
        <v>-4</v>
      </c>
      <c r="G40">
        <v>0</v>
      </c>
      <c r="H40">
        <v>1000000000</v>
      </c>
      <c r="I40">
        <v>100</v>
      </c>
      <c r="J40">
        <v>72</v>
      </c>
      <c r="K40">
        <v>24.666666666699999</v>
      </c>
      <c r="L40">
        <v>96.392207171699994</v>
      </c>
      <c r="M40">
        <v>96.992613574499998</v>
      </c>
      <c r="N40">
        <v>95.215387056400004</v>
      </c>
      <c r="O40">
        <v>95.600587091799994</v>
      </c>
      <c r="P40">
        <v>96.504753587899998</v>
      </c>
      <c r="Q40">
        <v>96.558724784199995</v>
      </c>
      <c r="R40">
        <v>93.738742601400006</v>
      </c>
      <c r="S40">
        <v>96.1055054829</v>
      </c>
      <c r="T40">
        <v>98.280250786300002</v>
      </c>
      <c r="U40">
        <v>95.776748901199994</v>
      </c>
      <c r="V40">
        <v>96.633896125000007</v>
      </c>
      <c r="W40">
        <v>95.354469950199999</v>
      </c>
      <c r="X40">
        <v>94.948422417800003</v>
      </c>
      <c r="Y40">
        <v>95.673237952799994</v>
      </c>
      <c r="Z40">
        <v>96.438189670400007</v>
      </c>
      <c r="AA40">
        <v>93.536784212200004</v>
      </c>
      <c r="AB40">
        <v>97.336623512900005</v>
      </c>
      <c r="AC40">
        <v>97.563784931000001</v>
      </c>
      <c r="AD40">
        <v>96.626267241999997</v>
      </c>
      <c r="AE40">
        <v>96.980801774699998</v>
      </c>
      <c r="AF40">
        <f t="shared" si="0"/>
        <v>96.112899941365001</v>
      </c>
      <c r="AG40">
        <f t="shared" si="1"/>
        <v>1.1505827215037854</v>
      </c>
    </row>
    <row r="41" spans="1:33" ht="15" hidden="1" customHeight="1" x14ac:dyDescent="0.35">
      <c r="A41">
        <v>100</v>
      </c>
      <c r="B41">
        <v>20</v>
      </c>
      <c r="C41">
        <v>12</v>
      </c>
      <c r="D41">
        <v>2</v>
      </c>
      <c r="E41">
        <v>2</v>
      </c>
      <c r="F41">
        <v>-4</v>
      </c>
      <c r="G41">
        <v>0</v>
      </c>
      <c r="H41">
        <v>1000000000</v>
      </c>
      <c r="I41">
        <v>100</v>
      </c>
      <c r="J41">
        <v>76</v>
      </c>
      <c r="K41">
        <v>24.666666666699999</v>
      </c>
      <c r="L41">
        <v>98.538933548399996</v>
      </c>
      <c r="M41">
        <v>97.631759804699996</v>
      </c>
      <c r="N41">
        <v>99.360307714000001</v>
      </c>
      <c r="O41">
        <v>97.585215815400005</v>
      </c>
      <c r="P41">
        <v>95.991425393900002</v>
      </c>
      <c r="Q41">
        <v>96.831948025200006</v>
      </c>
      <c r="R41">
        <v>96.609190492899998</v>
      </c>
      <c r="S41">
        <v>98.231949536200005</v>
      </c>
      <c r="T41">
        <v>99.286665142299995</v>
      </c>
      <c r="U41">
        <v>96.012767022299997</v>
      </c>
      <c r="V41">
        <v>98.450823660799998</v>
      </c>
      <c r="W41">
        <v>99.119119346600002</v>
      </c>
      <c r="X41">
        <v>99.322775547299997</v>
      </c>
      <c r="Y41">
        <v>97.497233347100007</v>
      </c>
      <c r="Z41">
        <v>96.335082701800005</v>
      </c>
      <c r="AA41">
        <v>97.709829053299998</v>
      </c>
      <c r="AB41">
        <v>97.613095422300006</v>
      </c>
      <c r="AC41">
        <v>97.981391995300001</v>
      </c>
      <c r="AD41">
        <v>97.735169880900003</v>
      </c>
      <c r="AE41">
        <v>95.8507884598</v>
      </c>
      <c r="AF41">
        <f t="shared" si="0"/>
        <v>97.684773595525002</v>
      </c>
      <c r="AG41">
        <f t="shared" si="1"/>
        <v>1.1091948790497295</v>
      </c>
    </row>
    <row r="42" spans="1:33" ht="15" hidden="1" customHeight="1" x14ac:dyDescent="0.35">
      <c r="A42">
        <v>100</v>
      </c>
      <c r="B42">
        <v>20</v>
      </c>
      <c r="C42">
        <v>12</v>
      </c>
      <c r="D42">
        <v>2</v>
      </c>
      <c r="E42">
        <v>2</v>
      </c>
      <c r="F42">
        <v>-4</v>
      </c>
      <c r="G42">
        <v>0</v>
      </c>
      <c r="H42">
        <v>1000000000</v>
      </c>
      <c r="I42">
        <v>100</v>
      </c>
      <c r="J42">
        <v>80</v>
      </c>
      <c r="K42">
        <v>24.666666666699999</v>
      </c>
      <c r="L42">
        <v>99.759267092200005</v>
      </c>
      <c r="M42">
        <v>98.271956810199995</v>
      </c>
      <c r="N42">
        <v>99.436379003799999</v>
      </c>
      <c r="O42">
        <v>99.258512033900004</v>
      </c>
      <c r="P42">
        <v>98.751745632500004</v>
      </c>
      <c r="Q42">
        <v>98.541613403100001</v>
      </c>
      <c r="R42">
        <v>99.646089486899996</v>
      </c>
      <c r="S42">
        <v>98.432253493199994</v>
      </c>
      <c r="T42">
        <v>98.103249916300001</v>
      </c>
      <c r="U42">
        <v>98.728679917400001</v>
      </c>
      <c r="V42">
        <v>98.945159869500003</v>
      </c>
      <c r="W42">
        <v>98.303640322999996</v>
      </c>
      <c r="X42">
        <v>99.6284828406</v>
      </c>
      <c r="Y42">
        <v>99.286625607199994</v>
      </c>
      <c r="Z42">
        <v>99.753495672400007</v>
      </c>
      <c r="AA42">
        <v>99.686610365000007</v>
      </c>
      <c r="AB42">
        <v>97.896191035399994</v>
      </c>
      <c r="AC42">
        <v>99.656443743699995</v>
      </c>
      <c r="AD42">
        <v>99.623768995700004</v>
      </c>
      <c r="AE42">
        <v>98.586992680799995</v>
      </c>
      <c r="AF42">
        <f t="shared" si="0"/>
        <v>99.014857896140001</v>
      </c>
      <c r="AG42">
        <f t="shared" si="1"/>
        <v>0.61081498828704095</v>
      </c>
    </row>
    <row r="43" spans="1:33" ht="15" hidden="1" customHeight="1" x14ac:dyDescent="0.35">
      <c r="A43">
        <v>100</v>
      </c>
      <c r="B43">
        <v>20</v>
      </c>
      <c r="C43">
        <v>6</v>
      </c>
      <c r="D43">
        <v>2</v>
      </c>
      <c r="E43">
        <v>2</v>
      </c>
      <c r="F43">
        <v>-3</v>
      </c>
      <c r="G43">
        <v>0</v>
      </c>
      <c r="H43">
        <v>1000000000</v>
      </c>
      <c r="I43">
        <v>100</v>
      </c>
      <c r="J43">
        <v>72</v>
      </c>
      <c r="K43">
        <v>24.666666666699999</v>
      </c>
      <c r="L43">
        <v>10.046241610499999</v>
      </c>
      <c r="M43">
        <v>17.029467033100001</v>
      </c>
      <c r="N43">
        <v>13.1611506501</v>
      </c>
      <c r="O43">
        <v>13.007799650300001</v>
      </c>
      <c r="P43">
        <v>15.524470472300001</v>
      </c>
      <c r="Q43">
        <v>13.963538847400001</v>
      </c>
      <c r="R43">
        <v>16.594167849200002</v>
      </c>
      <c r="S43">
        <v>9.9633969739699992</v>
      </c>
      <c r="T43">
        <v>18.2800972404</v>
      </c>
      <c r="U43">
        <v>18.951268369899999</v>
      </c>
      <c r="V43">
        <v>12.121495616900001</v>
      </c>
      <c r="W43">
        <v>13.435750906199999</v>
      </c>
      <c r="X43">
        <v>13.823951110499999</v>
      </c>
      <c r="Y43">
        <v>14.441353083899999</v>
      </c>
      <c r="Z43">
        <v>18.105875426299999</v>
      </c>
      <c r="AA43">
        <v>16.531505771399999</v>
      </c>
      <c r="AB43">
        <v>11.682834917199999</v>
      </c>
      <c r="AC43">
        <v>12.0015282682</v>
      </c>
      <c r="AD43">
        <v>16.155214398799998</v>
      </c>
      <c r="AE43">
        <v>14.6939142435</v>
      </c>
      <c r="AF43">
        <f t="shared" si="0"/>
        <v>14.475751122003501</v>
      </c>
      <c r="AG43">
        <f t="shared" si="1"/>
        <v>2.5688909061260268</v>
      </c>
    </row>
    <row r="44" spans="1:33" ht="15" hidden="1" customHeight="1" x14ac:dyDescent="0.35">
      <c r="A44">
        <v>100</v>
      </c>
      <c r="B44">
        <v>20</v>
      </c>
      <c r="C44">
        <v>6</v>
      </c>
      <c r="D44">
        <v>2</v>
      </c>
      <c r="E44">
        <v>2</v>
      </c>
      <c r="F44">
        <v>-3</v>
      </c>
      <c r="G44">
        <v>0</v>
      </c>
      <c r="H44">
        <v>1000000000</v>
      </c>
      <c r="I44">
        <v>100</v>
      </c>
      <c r="J44">
        <v>76</v>
      </c>
      <c r="K44">
        <v>24.666666666699999</v>
      </c>
      <c r="L44">
        <v>19.4443246843</v>
      </c>
      <c r="M44">
        <v>23.6916782027</v>
      </c>
      <c r="N44">
        <v>15.744916723999999</v>
      </c>
      <c r="O44">
        <v>19.821560850299999</v>
      </c>
      <c r="P44">
        <v>16.869497819300001</v>
      </c>
      <c r="Q44">
        <v>17.609625487500001</v>
      </c>
      <c r="R44">
        <v>22.729964405899999</v>
      </c>
      <c r="S44">
        <v>23.986809704700001</v>
      </c>
      <c r="T44">
        <v>17.862541591799999</v>
      </c>
      <c r="U44">
        <v>22.367061609899999</v>
      </c>
      <c r="V44">
        <v>23.678443301000001</v>
      </c>
      <c r="W44">
        <v>24.5610045353</v>
      </c>
      <c r="X44">
        <v>25.0130792434</v>
      </c>
      <c r="Y44">
        <v>23.4263491448</v>
      </c>
      <c r="Z44">
        <v>22.3085103246</v>
      </c>
      <c r="AA44">
        <v>20.147523919299999</v>
      </c>
      <c r="AB44">
        <v>18.807853615399999</v>
      </c>
      <c r="AC44">
        <v>19.654042040499998</v>
      </c>
      <c r="AD44">
        <v>20.685388165700001</v>
      </c>
      <c r="AE44">
        <v>23.763999605599999</v>
      </c>
      <c r="AF44">
        <f t="shared" si="0"/>
        <v>21.108708748799998</v>
      </c>
      <c r="AG44">
        <f t="shared" si="1"/>
        <v>2.7318218151456857</v>
      </c>
    </row>
    <row r="45" spans="1:33" ht="15" hidden="1" customHeight="1" x14ac:dyDescent="0.35">
      <c r="A45">
        <v>100</v>
      </c>
      <c r="B45">
        <v>20</v>
      </c>
      <c r="C45">
        <v>6</v>
      </c>
      <c r="D45">
        <v>2</v>
      </c>
      <c r="E45">
        <v>2</v>
      </c>
      <c r="F45">
        <v>-3</v>
      </c>
      <c r="G45">
        <v>0</v>
      </c>
      <c r="H45">
        <v>1000000000</v>
      </c>
      <c r="I45">
        <v>100</v>
      </c>
      <c r="J45">
        <v>80</v>
      </c>
      <c r="K45">
        <v>24.666666666699999</v>
      </c>
      <c r="L45">
        <v>31.425947111199999</v>
      </c>
      <c r="M45">
        <v>26.467131356100001</v>
      </c>
      <c r="N45">
        <v>31.620857463099998</v>
      </c>
      <c r="O45">
        <v>28.672885239900001</v>
      </c>
      <c r="P45">
        <v>25.92933506</v>
      </c>
      <c r="Q45">
        <v>29.622595452599999</v>
      </c>
      <c r="R45">
        <v>30.332953547399999</v>
      </c>
      <c r="S45">
        <v>30.2790632014</v>
      </c>
      <c r="T45">
        <v>26.399905221200001</v>
      </c>
      <c r="U45">
        <v>20.592723318299999</v>
      </c>
      <c r="V45">
        <v>29.918692543300001</v>
      </c>
      <c r="W45">
        <v>22.145471231799998</v>
      </c>
      <c r="X45">
        <v>28.7128925946</v>
      </c>
      <c r="Y45">
        <v>28.202068878999999</v>
      </c>
      <c r="Z45">
        <v>29.456233619100001</v>
      </c>
      <c r="AA45">
        <v>29.321732305400001</v>
      </c>
      <c r="AB45">
        <v>23.790798049999999</v>
      </c>
      <c r="AC45">
        <v>34.838435154899997</v>
      </c>
      <c r="AD45">
        <v>35.229743001300001</v>
      </c>
      <c r="AE45">
        <v>31.730125213000001</v>
      </c>
      <c r="AF45">
        <f t="shared" si="0"/>
        <v>28.734479478179999</v>
      </c>
      <c r="AG45">
        <f t="shared" si="1"/>
        <v>3.6392610910914271</v>
      </c>
    </row>
    <row r="46" spans="1:33" ht="15" hidden="1" customHeight="1" x14ac:dyDescent="0.35">
      <c r="A46">
        <v>100</v>
      </c>
      <c r="B46">
        <v>20</v>
      </c>
      <c r="C46">
        <v>8</v>
      </c>
      <c r="D46">
        <v>2</v>
      </c>
      <c r="E46">
        <v>2</v>
      </c>
      <c r="F46">
        <v>-3</v>
      </c>
      <c r="G46">
        <v>0</v>
      </c>
      <c r="H46">
        <v>1000000000</v>
      </c>
      <c r="I46">
        <v>100</v>
      </c>
      <c r="J46">
        <v>72</v>
      </c>
      <c r="K46">
        <v>24.666666666699999</v>
      </c>
      <c r="L46">
        <v>41.588590369899997</v>
      </c>
      <c r="M46">
        <v>44.065427891799999</v>
      </c>
      <c r="N46">
        <v>33.862487421200001</v>
      </c>
      <c r="O46">
        <v>46.919789120099999</v>
      </c>
      <c r="P46">
        <v>47.157269958599997</v>
      </c>
      <c r="Q46">
        <v>45.110711609500001</v>
      </c>
      <c r="R46">
        <v>44.050293666400002</v>
      </c>
      <c r="S46">
        <v>46.3464119697</v>
      </c>
      <c r="T46">
        <v>44.234079140699997</v>
      </c>
      <c r="U46">
        <v>47.1849682466</v>
      </c>
      <c r="V46">
        <v>41.384557772900003</v>
      </c>
      <c r="W46">
        <v>45.492264308800003</v>
      </c>
      <c r="X46">
        <v>35.928808187199998</v>
      </c>
      <c r="Y46">
        <v>44.836901110699998</v>
      </c>
      <c r="Z46">
        <v>47.952595272899998</v>
      </c>
      <c r="AA46">
        <v>42.715882807200003</v>
      </c>
      <c r="AB46">
        <v>45.920831105300003</v>
      </c>
      <c r="AC46">
        <v>46.696690930000003</v>
      </c>
      <c r="AD46">
        <v>46.464452483899997</v>
      </c>
      <c r="AE46">
        <v>50.260911679700001</v>
      </c>
      <c r="AF46">
        <f t="shared" si="0"/>
        <v>44.408696252655005</v>
      </c>
      <c r="AG46">
        <f t="shared" si="1"/>
        <v>3.8019735390015583</v>
      </c>
    </row>
    <row r="47" spans="1:33" ht="15" customHeight="1" x14ac:dyDescent="0.35">
      <c r="A47">
        <v>100</v>
      </c>
      <c r="B47">
        <v>20</v>
      </c>
      <c r="C47">
        <v>8</v>
      </c>
      <c r="D47">
        <v>2</v>
      </c>
      <c r="E47">
        <v>2</v>
      </c>
      <c r="F47">
        <v>-3</v>
      </c>
      <c r="G47">
        <v>0</v>
      </c>
      <c r="H47">
        <v>1000000000</v>
      </c>
      <c r="I47">
        <v>100</v>
      </c>
      <c r="J47">
        <v>76</v>
      </c>
      <c r="K47">
        <v>24.666666666699999</v>
      </c>
      <c r="L47">
        <v>52.826233718399997</v>
      </c>
      <c r="M47">
        <v>57.917533648199999</v>
      </c>
      <c r="N47">
        <v>52.981747867499998</v>
      </c>
      <c r="O47">
        <v>40.989842587799998</v>
      </c>
      <c r="P47">
        <v>61.969561604900001</v>
      </c>
      <c r="Q47">
        <v>50.774236147499998</v>
      </c>
      <c r="R47">
        <v>55.123657274400003</v>
      </c>
      <c r="S47">
        <v>50.996460900899997</v>
      </c>
      <c r="T47">
        <v>58.3571354404</v>
      </c>
      <c r="U47">
        <v>49.565290120599997</v>
      </c>
      <c r="V47">
        <v>56.113852032899999</v>
      </c>
      <c r="W47">
        <v>52.999813598099998</v>
      </c>
      <c r="X47">
        <v>60.333207525299997</v>
      </c>
      <c r="Y47">
        <v>43.582096825800001</v>
      </c>
      <c r="Z47">
        <v>58.768132211000001</v>
      </c>
      <c r="AA47">
        <v>53.1895893859</v>
      </c>
      <c r="AB47">
        <v>51.355261143900002</v>
      </c>
      <c r="AC47">
        <v>57.042239185699998</v>
      </c>
      <c r="AD47">
        <v>50.508435926700002</v>
      </c>
      <c r="AE47">
        <v>45.785182405299999</v>
      </c>
      <c r="AF47">
        <f t="shared" si="0"/>
        <v>53.058975477559997</v>
      </c>
      <c r="AG47">
        <f t="shared" si="1"/>
        <v>5.3178793421939856</v>
      </c>
    </row>
    <row r="48" spans="1:33" ht="15" hidden="1" customHeight="1" x14ac:dyDescent="0.35">
      <c r="A48">
        <v>100</v>
      </c>
      <c r="B48">
        <v>20</v>
      </c>
      <c r="C48">
        <v>8</v>
      </c>
      <c r="D48">
        <v>2</v>
      </c>
      <c r="E48">
        <v>2</v>
      </c>
      <c r="F48">
        <v>-3</v>
      </c>
      <c r="G48">
        <v>0</v>
      </c>
      <c r="H48">
        <v>1000000000</v>
      </c>
      <c r="I48">
        <v>100</v>
      </c>
      <c r="J48">
        <v>80</v>
      </c>
      <c r="K48">
        <v>24.666666666699999</v>
      </c>
      <c r="L48">
        <v>66.457210367100004</v>
      </c>
      <c r="M48">
        <v>70.867597108699997</v>
      </c>
      <c r="N48">
        <v>65.305044230099995</v>
      </c>
      <c r="O48">
        <v>70.701551761600001</v>
      </c>
      <c r="P48">
        <v>61.488834168399997</v>
      </c>
      <c r="Q48">
        <v>62.527288224099998</v>
      </c>
      <c r="R48">
        <v>71.343253712099994</v>
      </c>
      <c r="S48">
        <v>59.298540248499997</v>
      </c>
      <c r="T48">
        <v>63.647318459499999</v>
      </c>
      <c r="U48">
        <v>65.873663890000003</v>
      </c>
      <c r="V48">
        <v>65.385938420800002</v>
      </c>
      <c r="W48">
        <v>62.130708341499997</v>
      </c>
      <c r="X48">
        <v>70.490167507999999</v>
      </c>
      <c r="Y48">
        <v>60.952899373500003</v>
      </c>
      <c r="Z48">
        <v>67.697800644200001</v>
      </c>
      <c r="AA48">
        <v>63.9675418526</v>
      </c>
      <c r="AB48">
        <v>72.494573993200007</v>
      </c>
      <c r="AC48">
        <v>69.887793820400006</v>
      </c>
      <c r="AD48">
        <v>66.602839072899997</v>
      </c>
      <c r="AE48">
        <v>63.994735545399998</v>
      </c>
      <c r="AF48">
        <f t="shared" si="0"/>
        <v>66.055765037130016</v>
      </c>
      <c r="AG48">
        <f t="shared" si="1"/>
        <v>3.7916019270691552</v>
      </c>
    </row>
    <row r="49" spans="1:33" hidden="1" x14ac:dyDescent="0.35">
      <c r="A49">
        <v>100</v>
      </c>
      <c r="B49">
        <v>20</v>
      </c>
      <c r="C49">
        <v>10</v>
      </c>
      <c r="D49">
        <v>2</v>
      </c>
      <c r="E49">
        <v>2</v>
      </c>
      <c r="F49">
        <v>-3</v>
      </c>
      <c r="G49">
        <v>0</v>
      </c>
      <c r="H49">
        <v>1000000000</v>
      </c>
      <c r="I49">
        <v>100</v>
      </c>
      <c r="J49">
        <v>72</v>
      </c>
      <c r="K49">
        <v>24.666666666699999</v>
      </c>
      <c r="L49">
        <v>79.967935513300006</v>
      </c>
      <c r="M49">
        <v>82.1976539315</v>
      </c>
      <c r="N49">
        <v>80.226767667299995</v>
      </c>
      <c r="O49">
        <v>78.279477572999994</v>
      </c>
      <c r="P49">
        <v>70.788435027600002</v>
      </c>
      <c r="Q49">
        <v>74.5928341475</v>
      </c>
      <c r="R49">
        <v>81.878907706700005</v>
      </c>
      <c r="S49">
        <v>84.834485369399999</v>
      </c>
      <c r="T49">
        <v>79.878220769799995</v>
      </c>
      <c r="U49">
        <v>82.992066539899994</v>
      </c>
      <c r="V49">
        <v>82.492626562200002</v>
      </c>
      <c r="W49">
        <v>81.555777214000003</v>
      </c>
      <c r="X49">
        <v>83.701075964799998</v>
      </c>
      <c r="Y49">
        <v>70.761865715900001</v>
      </c>
      <c r="Z49">
        <v>77.457638940099997</v>
      </c>
      <c r="AA49">
        <v>74.944892714299996</v>
      </c>
      <c r="AB49">
        <v>80.980240894199994</v>
      </c>
      <c r="AC49">
        <v>82.883944727499994</v>
      </c>
      <c r="AD49">
        <v>78.033114570699993</v>
      </c>
      <c r="AE49">
        <v>81.1239647604</v>
      </c>
      <c r="AF49">
        <f t="shared" si="0"/>
        <v>79.478596315505001</v>
      </c>
      <c r="AG49">
        <f t="shared" si="1"/>
        <v>3.9145093892655809</v>
      </c>
    </row>
    <row r="50" spans="1:33" hidden="1" x14ac:dyDescent="0.35">
      <c r="A50">
        <v>100</v>
      </c>
      <c r="B50">
        <v>20</v>
      </c>
      <c r="C50">
        <v>10</v>
      </c>
      <c r="D50">
        <v>2</v>
      </c>
      <c r="E50">
        <v>2</v>
      </c>
      <c r="F50">
        <v>-3</v>
      </c>
      <c r="G50">
        <v>0</v>
      </c>
      <c r="H50">
        <v>1000000000</v>
      </c>
      <c r="I50">
        <v>100</v>
      </c>
      <c r="J50">
        <v>76</v>
      </c>
      <c r="K50">
        <v>24.666666666699999</v>
      </c>
      <c r="L50">
        <v>87.1473072358</v>
      </c>
      <c r="M50">
        <v>87.420406685200007</v>
      </c>
      <c r="N50">
        <v>81.952993219299998</v>
      </c>
      <c r="O50">
        <v>90.351421949900001</v>
      </c>
      <c r="P50">
        <v>90.546846407900006</v>
      </c>
      <c r="Q50">
        <v>86.704350126099996</v>
      </c>
      <c r="R50">
        <v>88.013043850399995</v>
      </c>
      <c r="S50">
        <v>84.457982528900004</v>
      </c>
      <c r="T50">
        <v>83.601342233699995</v>
      </c>
      <c r="U50">
        <v>86.665851740199997</v>
      </c>
      <c r="V50">
        <v>90.244872586300005</v>
      </c>
      <c r="W50">
        <v>86.237765337200003</v>
      </c>
      <c r="X50">
        <v>84.782289214900004</v>
      </c>
      <c r="Y50">
        <v>87.496949814299995</v>
      </c>
      <c r="Z50">
        <v>86.911698274499997</v>
      </c>
      <c r="AA50">
        <v>85.671704568899997</v>
      </c>
      <c r="AB50">
        <v>90.135859483700003</v>
      </c>
      <c r="AC50">
        <v>88.389514629299995</v>
      </c>
      <c r="AD50">
        <v>87.169448584899996</v>
      </c>
      <c r="AE50">
        <v>84.096787705899999</v>
      </c>
      <c r="AF50">
        <f t="shared" si="0"/>
        <v>86.899921808865003</v>
      </c>
      <c r="AG50">
        <f t="shared" si="1"/>
        <v>2.3107346180574062</v>
      </c>
    </row>
    <row r="51" spans="1:33" hidden="1" x14ac:dyDescent="0.35">
      <c r="A51">
        <v>100</v>
      </c>
      <c r="B51">
        <v>20</v>
      </c>
      <c r="C51">
        <v>10</v>
      </c>
      <c r="D51">
        <v>2</v>
      </c>
      <c r="E51">
        <v>2</v>
      </c>
      <c r="F51">
        <v>-3</v>
      </c>
      <c r="G51">
        <v>0</v>
      </c>
      <c r="H51">
        <v>1000000000</v>
      </c>
      <c r="I51">
        <v>100</v>
      </c>
      <c r="J51">
        <v>80</v>
      </c>
      <c r="K51">
        <v>24.666666666699999</v>
      </c>
      <c r="L51">
        <v>89.248860391700006</v>
      </c>
      <c r="M51">
        <v>88.644664468000002</v>
      </c>
      <c r="N51">
        <v>88.044559806500004</v>
      </c>
      <c r="O51">
        <v>90.251883337799995</v>
      </c>
      <c r="P51">
        <v>92.072640029699997</v>
      </c>
      <c r="Q51">
        <v>91.175173572000006</v>
      </c>
      <c r="R51">
        <v>89.984161908600001</v>
      </c>
      <c r="S51">
        <v>92.940324627600006</v>
      </c>
      <c r="T51">
        <v>91.690782022999997</v>
      </c>
      <c r="U51">
        <v>87.483720706100002</v>
      </c>
      <c r="V51">
        <v>89.3231137354</v>
      </c>
      <c r="W51">
        <v>93.932984568999998</v>
      </c>
      <c r="X51">
        <v>91.185576321100001</v>
      </c>
      <c r="Y51">
        <v>91.175965147900001</v>
      </c>
      <c r="Z51">
        <v>91.439567187700007</v>
      </c>
      <c r="AA51">
        <v>88.557716230599993</v>
      </c>
      <c r="AB51">
        <v>92.599284811900006</v>
      </c>
      <c r="AC51">
        <v>95.110128565400004</v>
      </c>
      <c r="AD51">
        <v>86.3689863285</v>
      </c>
      <c r="AE51">
        <v>92.270787122100003</v>
      </c>
      <c r="AF51">
        <f t="shared" si="0"/>
        <v>90.675044044529983</v>
      </c>
      <c r="AG51">
        <f t="shared" si="1"/>
        <v>2.1767599329535319</v>
      </c>
    </row>
    <row r="52" spans="1:33" ht="15" hidden="1" customHeight="1" x14ac:dyDescent="0.35">
      <c r="A52">
        <v>100</v>
      </c>
      <c r="B52">
        <v>20</v>
      </c>
      <c r="C52">
        <v>12</v>
      </c>
      <c r="D52">
        <v>2</v>
      </c>
      <c r="E52">
        <v>2</v>
      </c>
      <c r="F52">
        <v>-3</v>
      </c>
      <c r="G52">
        <v>0</v>
      </c>
      <c r="H52">
        <v>1000000000</v>
      </c>
      <c r="I52">
        <v>100</v>
      </c>
      <c r="J52">
        <v>72</v>
      </c>
      <c r="K52">
        <v>24.666666666699999</v>
      </c>
      <c r="L52">
        <v>97.4933816251</v>
      </c>
      <c r="M52">
        <v>98.452457696099998</v>
      </c>
      <c r="N52">
        <v>97.1066522574</v>
      </c>
      <c r="O52">
        <v>97.996414310600002</v>
      </c>
      <c r="P52">
        <v>96.775478258500002</v>
      </c>
      <c r="Q52">
        <v>98.503483789699999</v>
      </c>
      <c r="R52">
        <v>97.414788251600001</v>
      </c>
      <c r="S52">
        <v>97.294209952200006</v>
      </c>
      <c r="T52">
        <v>97.751883320199994</v>
      </c>
      <c r="U52">
        <v>96.456298203399996</v>
      </c>
      <c r="V52">
        <v>94.817161299800006</v>
      </c>
      <c r="W52">
        <v>97.160482553400001</v>
      </c>
      <c r="X52">
        <v>96.961898663699998</v>
      </c>
      <c r="Y52">
        <v>95.401538422800002</v>
      </c>
      <c r="Z52">
        <v>97.569651844500001</v>
      </c>
      <c r="AA52">
        <v>95.144001799099996</v>
      </c>
      <c r="AB52">
        <v>94.921568086299999</v>
      </c>
      <c r="AC52">
        <v>95.6677569374</v>
      </c>
      <c r="AD52">
        <v>97.721172301999999</v>
      </c>
      <c r="AE52">
        <v>96.0072726211</v>
      </c>
      <c r="AF52">
        <f t="shared" si="0"/>
        <v>96.830877609745002</v>
      </c>
      <c r="AG52">
        <f t="shared" si="1"/>
        <v>1.1165191632575435</v>
      </c>
    </row>
    <row r="53" spans="1:33" ht="15" hidden="1" customHeight="1" x14ac:dyDescent="0.35">
      <c r="A53">
        <v>100</v>
      </c>
      <c r="B53">
        <v>20</v>
      </c>
      <c r="C53">
        <v>12</v>
      </c>
      <c r="D53">
        <v>2</v>
      </c>
      <c r="E53">
        <v>2</v>
      </c>
      <c r="F53">
        <v>-3</v>
      </c>
      <c r="G53">
        <v>0</v>
      </c>
      <c r="H53">
        <v>1000000000</v>
      </c>
      <c r="I53">
        <v>100</v>
      </c>
      <c r="J53">
        <v>76</v>
      </c>
      <c r="K53">
        <v>24.666666666699999</v>
      </c>
      <c r="L53">
        <v>98.151915237099999</v>
      </c>
      <c r="M53">
        <v>99.280595380700007</v>
      </c>
      <c r="N53">
        <v>97.954726010800002</v>
      </c>
      <c r="O53">
        <v>96.181335464300005</v>
      </c>
      <c r="P53">
        <v>98.8459507054</v>
      </c>
      <c r="Q53">
        <v>98.8212121121</v>
      </c>
      <c r="R53">
        <v>98.857383875699995</v>
      </c>
      <c r="S53">
        <v>96.846109444299998</v>
      </c>
      <c r="T53">
        <v>97.659227369700005</v>
      </c>
      <c r="U53">
        <v>96.035980328299999</v>
      </c>
      <c r="V53">
        <v>98.9506632895</v>
      </c>
      <c r="W53">
        <v>97.074618521299996</v>
      </c>
      <c r="X53">
        <v>98.667856993699999</v>
      </c>
      <c r="Y53">
        <v>96.815265362800005</v>
      </c>
      <c r="Z53">
        <v>98.670959313099999</v>
      </c>
      <c r="AA53">
        <v>98.249422106200001</v>
      </c>
      <c r="AB53">
        <v>98.177917784800002</v>
      </c>
      <c r="AC53">
        <v>97.291859375599998</v>
      </c>
      <c r="AD53">
        <v>97.187055517600001</v>
      </c>
      <c r="AE53">
        <v>97.1344955247</v>
      </c>
      <c r="AF53">
        <f t="shared" si="0"/>
        <v>97.842727485885007</v>
      </c>
      <c r="AG53">
        <f t="shared" si="1"/>
        <v>0.94797692812427758</v>
      </c>
    </row>
    <row r="54" spans="1:33" ht="15" hidden="1" customHeight="1" x14ac:dyDescent="0.35">
      <c r="A54">
        <v>100</v>
      </c>
      <c r="B54">
        <v>20</v>
      </c>
      <c r="C54">
        <v>12</v>
      </c>
      <c r="D54">
        <v>2</v>
      </c>
      <c r="E54">
        <v>2</v>
      </c>
      <c r="F54">
        <v>-3</v>
      </c>
      <c r="G54">
        <v>0</v>
      </c>
      <c r="H54">
        <v>1000000000</v>
      </c>
      <c r="I54">
        <v>100</v>
      </c>
      <c r="J54">
        <v>80</v>
      </c>
      <c r="K54">
        <v>24.666666666699999</v>
      </c>
      <c r="L54">
        <v>98.482387413400005</v>
      </c>
      <c r="M54">
        <v>99.857833293400006</v>
      </c>
      <c r="N54">
        <v>98.691393626099995</v>
      </c>
      <c r="O54">
        <v>99.184144685999996</v>
      </c>
      <c r="P54">
        <v>98.470665299499998</v>
      </c>
      <c r="Q54">
        <v>98.793082854100007</v>
      </c>
      <c r="R54">
        <v>98.206630179100003</v>
      </c>
      <c r="S54">
        <v>98.8477454107</v>
      </c>
      <c r="T54">
        <v>98.343865983100002</v>
      </c>
      <c r="U54">
        <v>99.684657788500004</v>
      </c>
      <c r="V54">
        <v>98.140916312300007</v>
      </c>
      <c r="W54">
        <v>98.623462632200003</v>
      </c>
      <c r="X54">
        <v>99.529106080600002</v>
      </c>
      <c r="Y54">
        <v>99.807971930600004</v>
      </c>
      <c r="Z54">
        <v>97.659851110000005</v>
      </c>
      <c r="AA54">
        <v>99.316677286200004</v>
      </c>
      <c r="AB54">
        <v>99.444524542099998</v>
      </c>
      <c r="AC54">
        <v>98.661889359300005</v>
      </c>
      <c r="AD54">
        <v>99.871314642499996</v>
      </c>
      <c r="AE54">
        <v>99.712995672399998</v>
      </c>
      <c r="AF54">
        <f t="shared" si="0"/>
        <v>98.966555805105003</v>
      </c>
      <c r="AG54">
        <f t="shared" si="1"/>
        <v>0.64318762194784751</v>
      </c>
    </row>
    <row r="55" spans="1:33" ht="15" hidden="1" customHeight="1" x14ac:dyDescent="0.35">
      <c r="A55">
        <v>100</v>
      </c>
      <c r="B55">
        <v>20</v>
      </c>
      <c r="C55">
        <v>6</v>
      </c>
      <c r="D55">
        <v>2</v>
      </c>
      <c r="E55">
        <v>2</v>
      </c>
      <c r="F55">
        <v>-2</v>
      </c>
      <c r="G55">
        <v>0</v>
      </c>
      <c r="H55">
        <v>1000000000</v>
      </c>
      <c r="I55">
        <v>100</v>
      </c>
      <c r="J55">
        <v>72</v>
      </c>
      <c r="K55">
        <v>24.666666666699999</v>
      </c>
      <c r="L55">
        <v>10.1169163226</v>
      </c>
      <c r="M55">
        <v>18.9310765852</v>
      </c>
      <c r="N55">
        <v>14.352979443100001</v>
      </c>
      <c r="O55">
        <v>13.581451042499999</v>
      </c>
      <c r="P55">
        <v>20.3935189028</v>
      </c>
      <c r="Q55">
        <v>16.7633574235</v>
      </c>
      <c r="R55">
        <v>19.650632515200002</v>
      </c>
      <c r="S55">
        <v>16.742701474899999</v>
      </c>
      <c r="T55">
        <v>17.734466771299999</v>
      </c>
      <c r="U55">
        <v>12.394761091099999</v>
      </c>
      <c r="V55">
        <v>13.9941604875</v>
      </c>
      <c r="W55">
        <v>16.722098330400001</v>
      </c>
      <c r="X55">
        <v>14.1004180097</v>
      </c>
      <c r="Y55">
        <v>16.560540084399999</v>
      </c>
      <c r="Z55">
        <v>16.566468446599998</v>
      </c>
      <c r="AA55">
        <v>10.202365719599999</v>
      </c>
      <c r="AB55">
        <v>14.4225735418</v>
      </c>
      <c r="AC55">
        <v>16.137232880599999</v>
      </c>
      <c r="AD55">
        <v>13.375498800800001</v>
      </c>
      <c r="AE55">
        <v>12.9192639188</v>
      </c>
      <c r="AF55">
        <f t="shared" si="0"/>
        <v>15.283124089620003</v>
      </c>
      <c r="AG55">
        <f t="shared" si="1"/>
        <v>2.7617315206488682</v>
      </c>
    </row>
    <row r="56" spans="1:33" ht="15" hidden="1" customHeight="1" x14ac:dyDescent="0.35">
      <c r="A56">
        <v>100</v>
      </c>
      <c r="B56">
        <v>20</v>
      </c>
      <c r="C56">
        <v>6</v>
      </c>
      <c r="D56">
        <v>2</v>
      </c>
      <c r="E56">
        <v>2</v>
      </c>
      <c r="F56">
        <v>-2</v>
      </c>
      <c r="G56">
        <v>0</v>
      </c>
      <c r="H56">
        <v>1000000000</v>
      </c>
      <c r="I56">
        <v>100</v>
      </c>
      <c r="J56">
        <v>76</v>
      </c>
      <c r="K56">
        <v>24.666666666699999</v>
      </c>
      <c r="L56">
        <v>24.958291832699999</v>
      </c>
      <c r="M56">
        <v>24.449753564600002</v>
      </c>
      <c r="N56">
        <v>31.230777947699998</v>
      </c>
      <c r="O56">
        <v>19.6119106499</v>
      </c>
      <c r="P56">
        <v>19.281747682999999</v>
      </c>
      <c r="Q56">
        <v>21.591894674900001</v>
      </c>
      <c r="R56">
        <v>21.588863197599999</v>
      </c>
      <c r="S56">
        <v>26.974537253000001</v>
      </c>
      <c r="T56">
        <v>25.339177467500001</v>
      </c>
      <c r="U56">
        <v>19.931468045799999</v>
      </c>
      <c r="V56">
        <v>23.310183602999999</v>
      </c>
      <c r="W56">
        <v>22.8422985234</v>
      </c>
      <c r="X56">
        <v>25.744628995799999</v>
      </c>
      <c r="Y56">
        <v>17.186230722099999</v>
      </c>
      <c r="Z56">
        <v>21.105854456700001</v>
      </c>
      <c r="AA56">
        <v>24.404492844499998</v>
      </c>
      <c r="AB56">
        <v>17.381963284200001</v>
      </c>
      <c r="AC56">
        <v>18.923210772899999</v>
      </c>
      <c r="AD56">
        <v>21.5101278343</v>
      </c>
      <c r="AE56">
        <v>22.276921613100001</v>
      </c>
      <c r="AF56">
        <f t="shared" si="0"/>
        <v>22.482216748335002</v>
      </c>
      <c r="AG56">
        <f t="shared" si="1"/>
        <v>3.3632060032283064</v>
      </c>
    </row>
    <row r="57" spans="1:33" ht="15" hidden="1" customHeight="1" x14ac:dyDescent="0.35">
      <c r="A57">
        <v>100</v>
      </c>
      <c r="B57">
        <v>20</v>
      </c>
      <c r="C57">
        <v>6</v>
      </c>
      <c r="D57">
        <v>2</v>
      </c>
      <c r="E57">
        <v>2</v>
      </c>
      <c r="F57">
        <v>-2</v>
      </c>
      <c r="G57">
        <v>0</v>
      </c>
      <c r="H57">
        <v>1000000000</v>
      </c>
      <c r="I57">
        <v>100</v>
      </c>
      <c r="J57">
        <v>80</v>
      </c>
      <c r="K57">
        <v>24.666666666699999</v>
      </c>
      <c r="L57">
        <v>30.385275104200002</v>
      </c>
      <c r="M57">
        <v>28.4725556512</v>
      </c>
      <c r="N57">
        <v>35.563513468399996</v>
      </c>
      <c r="O57">
        <v>28.269568955099999</v>
      </c>
      <c r="P57">
        <v>28.562314771600001</v>
      </c>
      <c r="Q57">
        <v>27.6627871524</v>
      </c>
      <c r="R57">
        <v>32.421664824799997</v>
      </c>
      <c r="S57">
        <v>24.0922467155</v>
      </c>
      <c r="T57">
        <v>29.4429327149</v>
      </c>
      <c r="U57">
        <v>33.550958148399999</v>
      </c>
      <c r="V57">
        <v>22.0448237644</v>
      </c>
      <c r="W57">
        <v>25.968210943399999</v>
      </c>
      <c r="X57">
        <v>36.452490313699997</v>
      </c>
      <c r="Y57">
        <v>28.4051084424</v>
      </c>
      <c r="Z57">
        <v>37.197651616100003</v>
      </c>
      <c r="AA57">
        <v>33.859797357399998</v>
      </c>
      <c r="AB57">
        <v>26.640226833100002</v>
      </c>
      <c r="AC57">
        <v>33.565914251599999</v>
      </c>
      <c r="AD57">
        <v>32.193509508399998</v>
      </c>
      <c r="AE57">
        <v>32.719663449800002</v>
      </c>
      <c r="AF57">
        <f t="shared" si="0"/>
        <v>30.373560699340004</v>
      </c>
      <c r="AG57">
        <f t="shared" si="1"/>
        <v>4.0092851288762112</v>
      </c>
    </row>
    <row r="58" spans="1:33" ht="15" hidden="1" customHeight="1" x14ac:dyDescent="0.35">
      <c r="A58">
        <v>100</v>
      </c>
      <c r="B58">
        <v>20</v>
      </c>
      <c r="C58">
        <v>8</v>
      </c>
      <c r="D58">
        <v>2</v>
      </c>
      <c r="E58">
        <v>2</v>
      </c>
      <c r="F58">
        <v>-2</v>
      </c>
      <c r="G58">
        <v>0</v>
      </c>
      <c r="H58">
        <v>1000000000</v>
      </c>
      <c r="I58">
        <v>100</v>
      </c>
      <c r="J58">
        <v>72</v>
      </c>
      <c r="K58">
        <v>24.666666666699999</v>
      </c>
      <c r="L58">
        <v>47.842750001100001</v>
      </c>
      <c r="M58">
        <v>51.822725975099999</v>
      </c>
      <c r="N58">
        <v>43.251703996899998</v>
      </c>
      <c r="O58">
        <v>45.933079223999997</v>
      </c>
      <c r="P58">
        <v>46.450866814000001</v>
      </c>
      <c r="Q58">
        <v>43.920810676400002</v>
      </c>
      <c r="R58">
        <v>42.697858373800003</v>
      </c>
      <c r="S58">
        <v>47.238126886300002</v>
      </c>
      <c r="T58">
        <v>47.611908602500002</v>
      </c>
      <c r="U58">
        <v>51.655450674900003</v>
      </c>
      <c r="V58">
        <v>51.373714450900003</v>
      </c>
      <c r="W58">
        <v>51.8801214418</v>
      </c>
      <c r="X58">
        <v>47.2118292631</v>
      </c>
      <c r="Y58">
        <v>53.975251030199999</v>
      </c>
      <c r="Z58">
        <v>43.218586456200001</v>
      </c>
      <c r="AA58">
        <v>49.745864982400001</v>
      </c>
      <c r="AB58">
        <v>40.784142519500001</v>
      </c>
      <c r="AC58">
        <v>49.422560961499997</v>
      </c>
      <c r="AD58">
        <v>50.177131910299998</v>
      </c>
      <c r="AE58">
        <v>46.345027967999997</v>
      </c>
      <c r="AF58">
        <f t="shared" si="0"/>
        <v>47.627975610444999</v>
      </c>
      <c r="AG58">
        <f t="shared" si="1"/>
        <v>3.5367873090525519</v>
      </c>
    </row>
    <row r="59" spans="1:33" ht="15" customHeight="1" x14ac:dyDescent="0.35">
      <c r="A59">
        <v>100</v>
      </c>
      <c r="B59">
        <v>20</v>
      </c>
      <c r="C59">
        <v>8</v>
      </c>
      <c r="D59">
        <v>2</v>
      </c>
      <c r="E59">
        <v>2</v>
      </c>
      <c r="F59">
        <v>-2</v>
      </c>
      <c r="G59">
        <v>0</v>
      </c>
      <c r="H59">
        <v>1000000000</v>
      </c>
      <c r="I59">
        <v>100</v>
      </c>
      <c r="J59">
        <v>76</v>
      </c>
      <c r="K59">
        <v>24.666666666699999</v>
      </c>
      <c r="L59">
        <v>52.528816128899997</v>
      </c>
      <c r="M59">
        <v>59.792342282600004</v>
      </c>
      <c r="N59">
        <v>64.451250857700003</v>
      </c>
      <c r="O59">
        <v>60.331079101100002</v>
      </c>
      <c r="P59">
        <v>53.815233579100003</v>
      </c>
      <c r="Q59">
        <v>62.627956984199997</v>
      </c>
      <c r="R59">
        <v>61.648827385499999</v>
      </c>
      <c r="S59">
        <v>55.046995709299999</v>
      </c>
      <c r="T59">
        <v>53.2355359799</v>
      </c>
      <c r="U59">
        <v>64.304824942699994</v>
      </c>
      <c r="V59">
        <v>55.994232951100003</v>
      </c>
      <c r="W59">
        <v>55.220764459199998</v>
      </c>
      <c r="X59">
        <v>64.076799449600003</v>
      </c>
      <c r="Y59">
        <v>60.998014576800003</v>
      </c>
      <c r="Z59">
        <v>55.203493577499998</v>
      </c>
      <c r="AA59">
        <v>59.686941145200002</v>
      </c>
      <c r="AB59">
        <v>56.408042217400002</v>
      </c>
      <c r="AC59">
        <v>62.169488288899998</v>
      </c>
      <c r="AD59">
        <v>62.904078758300003</v>
      </c>
      <c r="AE59">
        <v>60.364559370800002</v>
      </c>
      <c r="AF59">
        <f t="shared" si="0"/>
        <v>59.040463887290002</v>
      </c>
      <c r="AG59">
        <f t="shared" si="1"/>
        <v>3.8720286703932789</v>
      </c>
    </row>
    <row r="60" spans="1:33" ht="15" hidden="1" customHeight="1" x14ac:dyDescent="0.35">
      <c r="A60">
        <v>100</v>
      </c>
      <c r="B60">
        <v>20</v>
      </c>
      <c r="C60">
        <v>8</v>
      </c>
      <c r="D60">
        <v>2</v>
      </c>
      <c r="E60">
        <v>2</v>
      </c>
      <c r="F60">
        <v>-2</v>
      </c>
      <c r="G60">
        <v>0</v>
      </c>
      <c r="H60">
        <v>1000000000</v>
      </c>
      <c r="I60">
        <v>100</v>
      </c>
      <c r="J60">
        <v>80</v>
      </c>
      <c r="K60">
        <v>24.666666666699999</v>
      </c>
      <c r="L60">
        <v>69.925056751900001</v>
      </c>
      <c r="M60">
        <v>65.840473461000002</v>
      </c>
      <c r="N60">
        <v>66.4725660589</v>
      </c>
      <c r="O60">
        <v>73.606099794100004</v>
      </c>
      <c r="P60">
        <v>65.974064850600001</v>
      </c>
      <c r="Q60">
        <v>65.174252138300005</v>
      </c>
      <c r="R60">
        <v>58.774606008900001</v>
      </c>
      <c r="S60">
        <v>69.050701407199995</v>
      </c>
      <c r="T60">
        <v>70.646607358599994</v>
      </c>
      <c r="U60">
        <v>65.687788905199994</v>
      </c>
      <c r="V60">
        <v>67.055437992199998</v>
      </c>
      <c r="W60">
        <v>62.728136381399999</v>
      </c>
      <c r="X60">
        <v>70.724455211399999</v>
      </c>
      <c r="Y60">
        <v>64.388401348000002</v>
      </c>
      <c r="Z60">
        <v>65.765583708400001</v>
      </c>
      <c r="AA60">
        <v>76.853676570900006</v>
      </c>
      <c r="AB60">
        <v>68.565332245899995</v>
      </c>
      <c r="AC60">
        <v>67.999384834799997</v>
      </c>
      <c r="AD60">
        <v>72.206902897199996</v>
      </c>
      <c r="AE60">
        <v>67.463090450600006</v>
      </c>
      <c r="AF60">
        <f t="shared" si="0"/>
        <v>67.745130918775004</v>
      </c>
      <c r="AG60">
        <f t="shared" si="1"/>
        <v>3.8879350530438335</v>
      </c>
    </row>
    <row r="61" spans="1:33" hidden="1" x14ac:dyDescent="0.35">
      <c r="A61">
        <v>100</v>
      </c>
      <c r="B61">
        <v>20</v>
      </c>
      <c r="C61">
        <v>10</v>
      </c>
      <c r="D61">
        <v>2</v>
      </c>
      <c r="E61">
        <v>2</v>
      </c>
      <c r="F61">
        <v>-2</v>
      </c>
      <c r="G61">
        <v>0</v>
      </c>
      <c r="H61">
        <v>1000000000</v>
      </c>
      <c r="I61">
        <v>100</v>
      </c>
      <c r="J61">
        <v>72</v>
      </c>
      <c r="K61">
        <v>24.666666666699999</v>
      </c>
      <c r="L61">
        <v>76.982909997099995</v>
      </c>
      <c r="M61">
        <v>80.508176021099999</v>
      </c>
      <c r="N61">
        <v>81.979616278799995</v>
      </c>
      <c r="O61">
        <v>82.292613624200001</v>
      </c>
      <c r="P61">
        <v>83.633001245700001</v>
      </c>
      <c r="Q61">
        <v>82.644539751699995</v>
      </c>
      <c r="R61">
        <v>84.675778501099998</v>
      </c>
      <c r="S61">
        <v>81.532229160300005</v>
      </c>
      <c r="T61">
        <v>81.802448623800004</v>
      </c>
      <c r="U61">
        <v>84.365097572799996</v>
      </c>
      <c r="V61">
        <v>80.052689195400006</v>
      </c>
      <c r="W61">
        <v>84.304062830600003</v>
      </c>
      <c r="X61">
        <v>84.073848389099993</v>
      </c>
      <c r="Y61">
        <v>85.800609915500004</v>
      </c>
      <c r="Z61">
        <v>80.972993429699997</v>
      </c>
      <c r="AA61">
        <v>81.182828838600003</v>
      </c>
      <c r="AB61">
        <v>79.289799067499999</v>
      </c>
      <c r="AC61">
        <v>79.6323168065</v>
      </c>
      <c r="AD61">
        <v>80.406225444300006</v>
      </c>
      <c r="AE61">
        <v>82.0029246247</v>
      </c>
      <c r="AF61">
        <f t="shared" si="0"/>
        <v>81.906735465924996</v>
      </c>
      <c r="AG61">
        <f t="shared" si="1"/>
        <v>2.1031191012634971</v>
      </c>
    </row>
    <row r="62" spans="1:33" hidden="1" x14ac:dyDescent="0.35">
      <c r="A62">
        <v>100</v>
      </c>
      <c r="B62">
        <v>20</v>
      </c>
      <c r="C62">
        <v>10</v>
      </c>
      <c r="D62">
        <v>2</v>
      </c>
      <c r="E62">
        <v>2</v>
      </c>
      <c r="F62">
        <v>-2</v>
      </c>
      <c r="G62">
        <v>0</v>
      </c>
      <c r="H62">
        <v>1000000000</v>
      </c>
      <c r="I62">
        <v>100</v>
      </c>
      <c r="J62">
        <v>76</v>
      </c>
      <c r="K62">
        <v>24.666666666699999</v>
      </c>
      <c r="L62">
        <v>89.710610501299996</v>
      </c>
      <c r="M62">
        <v>86.093657702100003</v>
      </c>
      <c r="N62">
        <v>87.422947240699997</v>
      </c>
      <c r="O62">
        <v>86.874779817299995</v>
      </c>
      <c r="P62">
        <v>90.572389230799999</v>
      </c>
      <c r="Q62">
        <v>92.037674925399998</v>
      </c>
      <c r="R62">
        <v>87.817607571600007</v>
      </c>
      <c r="S62">
        <v>89.734074525799997</v>
      </c>
      <c r="T62">
        <v>81.117488491900005</v>
      </c>
      <c r="U62">
        <v>87.961248343299999</v>
      </c>
      <c r="V62">
        <v>85.374926248099996</v>
      </c>
      <c r="W62">
        <v>90.8746267394</v>
      </c>
      <c r="X62">
        <v>88.002873460399996</v>
      </c>
      <c r="Y62">
        <v>92.314860445799994</v>
      </c>
      <c r="Z62">
        <v>93.204293153699993</v>
      </c>
      <c r="AA62">
        <v>89.283474690600002</v>
      </c>
      <c r="AB62">
        <v>87.393683452000005</v>
      </c>
      <c r="AC62">
        <v>87.853110985499995</v>
      </c>
      <c r="AD62">
        <v>85.626195708300003</v>
      </c>
      <c r="AE62">
        <v>85.915199153399996</v>
      </c>
      <c r="AF62">
        <f t="shared" si="0"/>
        <v>88.259286119369989</v>
      </c>
      <c r="AG62">
        <f t="shared" si="1"/>
        <v>2.7660498800279463</v>
      </c>
    </row>
    <row r="63" spans="1:33" hidden="1" x14ac:dyDescent="0.35">
      <c r="A63">
        <v>100</v>
      </c>
      <c r="B63">
        <v>20</v>
      </c>
      <c r="C63">
        <v>10</v>
      </c>
      <c r="D63">
        <v>2</v>
      </c>
      <c r="E63">
        <v>2</v>
      </c>
      <c r="F63">
        <v>-2</v>
      </c>
      <c r="G63">
        <v>0</v>
      </c>
      <c r="H63">
        <v>1000000000</v>
      </c>
      <c r="I63">
        <v>100</v>
      </c>
      <c r="J63">
        <v>80</v>
      </c>
      <c r="K63">
        <v>24.666666666699999</v>
      </c>
      <c r="L63">
        <v>92.916134396900006</v>
      </c>
      <c r="M63">
        <v>87.027276598300006</v>
      </c>
      <c r="N63">
        <v>93.805829001000006</v>
      </c>
      <c r="O63">
        <v>92.062344484999997</v>
      </c>
      <c r="P63">
        <v>93.177959590399993</v>
      </c>
      <c r="Q63">
        <v>91.267140663800006</v>
      </c>
      <c r="R63">
        <v>90.465838598000005</v>
      </c>
      <c r="S63">
        <v>90.925143694799999</v>
      </c>
      <c r="T63">
        <v>93.586066698799996</v>
      </c>
      <c r="U63">
        <v>92.915397032399994</v>
      </c>
      <c r="V63">
        <v>91.622560837999998</v>
      </c>
      <c r="W63">
        <v>94.267190938900001</v>
      </c>
      <c r="X63">
        <v>91.010369827999995</v>
      </c>
      <c r="Y63">
        <v>94.858206152500003</v>
      </c>
      <c r="Z63">
        <v>91.226271839700004</v>
      </c>
      <c r="AA63">
        <v>95.393630529899994</v>
      </c>
      <c r="AB63">
        <v>88.285526394200005</v>
      </c>
      <c r="AC63">
        <v>90.829683242000002</v>
      </c>
      <c r="AD63">
        <v>94.501176470999994</v>
      </c>
      <c r="AE63">
        <v>94.128295158200004</v>
      </c>
      <c r="AF63">
        <f t="shared" si="0"/>
        <v>92.213602107590006</v>
      </c>
      <c r="AG63">
        <f t="shared" si="1"/>
        <v>2.1119428823004802</v>
      </c>
    </row>
    <row r="64" spans="1:33" ht="15" hidden="1" customHeight="1" x14ac:dyDescent="0.35">
      <c r="A64">
        <v>100</v>
      </c>
      <c r="B64">
        <v>20</v>
      </c>
      <c r="C64">
        <v>12</v>
      </c>
      <c r="D64">
        <v>2</v>
      </c>
      <c r="E64">
        <v>2</v>
      </c>
      <c r="F64">
        <v>-2</v>
      </c>
      <c r="G64">
        <v>0</v>
      </c>
      <c r="H64">
        <v>1000000000</v>
      </c>
      <c r="I64">
        <v>100</v>
      </c>
      <c r="J64">
        <v>72</v>
      </c>
      <c r="K64">
        <v>24.666666666699999</v>
      </c>
      <c r="L64">
        <v>98.899834787800003</v>
      </c>
      <c r="M64">
        <v>96.334685901499995</v>
      </c>
      <c r="N64">
        <v>95.929825627300005</v>
      </c>
      <c r="O64">
        <v>96.960033295100004</v>
      </c>
      <c r="P64">
        <v>96.9224954731</v>
      </c>
      <c r="Q64">
        <v>93.347200723100002</v>
      </c>
      <c r="R64">
        <v>94.718349446299996</v>
      </c>
      <c r="S64">
        <v>96.273860005399996</v>
      </c>
      <c r="T64">
        <v>98.754876033100004</v>
      </c>
      <c r="U64">
        <v>97.466664771799998</v>
      </c>
      <c r="V64">
        <v>98.438521631499995</v>
      </c>
      <c r="W64">
        <v>96.347828965900007</v>
      </c>
      <c r="X64">
        <v>98.4560358345</v>
      </c>
      <c r="Y64">
        <v>97.3922389584</v>
      </c>
      <c r="Z64">
        <v>97.662663964800004</v>
      </c>
      <c r="AA64">
        <v>96.557614264999998</v>
      </c>
      <c r="AB64">
        <v>99.341733712999996</v>
      </c>
      <c r="AC64">
        <v>98.010226656</v>
      </c>
      <c r="AD64">
        <v>97.710329704700001</v>
      </c>
      <c r="AE64">
        <v>97.380570926800004</v>
      </c>
      <c r="AF64">
        <f t="shared" si="0"/>
        <v>97.145279534254968</v>
      </c>
      <c r="AG64">
        <f t="shared" si="1"/>
        <v>1.4091372510652256</v>
      </c>
    </row>
    <row r="65" spans="1:33" ht="15" hidden="1" customHeight="1" x14ac:dyDescent="0.35">
      <c r="A65">
        <v>100</v>
      </c>
      <c r="B65">
        <v>20</v>
      </c>
      <c r="C65">
        <v>12</v>
      </c>
      <c r="D65">
        <v>2</v>
      </c>
      <c r="E65">
        <v>2</v>
      </c>
      <c r="F65">
        <v>-2</v>
      </c>
      <c r="G65">
        <v>0</v>
      </c>
      <c r="H65">
        <v>1000000000</v>
      </c>
      <c r="I65">
        <v>100</v>
      </c>
      <c r="J65">
        <v>76</v>
      </c>
      <c r="K65">
        <v>24.666666666699999</v>
      </c>
      <c r="L65">
        <v>97.675589196299995</v>
      </c>
      <c r="M65">
        <v>99.720432607600003</v>
      </c>
      <c r="N65">
        <v>98.1840019415</v>
      </c>
      <c r="O65">
        <v>97.585526680599997</v>
      </c>
      <c r="P65">
        <v>98.196988101299993</v>
      </c>
      <c r="Q65">
        <v>96.848306191600003</v>
      </c>
      <c r="R65">
        <v>98.693549431700006</v>
      </c>
      <c r="S65">
        <v>97.893686109699999</v>
      </c>
      <c r="T65">
        <v>98.321669259700002</v>
      </c>
      <c r="U65">
        <v>98.968356361700003</v>
      </c>
      <c r="V65">
        <v>98.139564489899996</v>
      </c>
      <c r="W65">
        <v>98.985394014299999</v>
      </c>
      <c r="X65">
        <v>99.331249150999994</v>
      </c>
      <c r="Y65">
        <v>98.4042369374</v>
      </c>
      <c r="Z65">
        <v>99.142878865100002</v>
      </c>
      <c r="AA65">
        <v>97.419195263000006</v>
      </c>
      <c r="AB65">
        <v>98.065743973400004</v>
      </c>
      <c r="AC65">
        <v>98.290264666400006</v>
      </c>
      <c r="AD65">
        <v>98.757968515300007</v>
      </c>
      <c r="AE65">
        <v>97.278423528499999</v>
      </c>
      <c r="AF65">
        <f t="shared" si="0"/>
        <v>98.295151264300017</v>
      </c>
      <c r="AG65">
        <f t="shared" si="1"/>
        <v>0.71346247724963952</v>
      </c>
    </row>
    <row r="66" spans="1:33" ht="15" hidden="1" customHeight="1" x14ac:dyDescent="0.35">
      <c r="A66">
        <v>100</v>
      </c>
      <c r="B66">
        <v>20</v>
      </c>
      <c r="C66">
        <v>12</v>
      </c>
      <c r="D66">
        <v>2</v>
      </c>
      <c r="E66">
        <v>2</v>
      </c>
      <c r="F66">
        <v>-2</v>
      </c>
      <c r="G66">
        <v>0</v>
      </c>
      <c r="H66">
        <v>1000000000</v>
      </c>
      <c r="I66">
        <v>100</v>
      </c>
      <c r="J66">
        <v>80</v>
      </c>
      <c r="K66">
        <v>24.666666666699999</v>
      </c>
      <c r="L66">
        <v>98.727970459100007</v>
      </c>
      <c r="M66">
        <v>99.876473553899999</v>
      </c>
      <c r="N66">
        <v>97.284048058799996</v>
      </c>
      <c r="O66">
        <v>99.422084192100002</v>
      </c>
      <c r="P66">
        <v>99.888571699500005</v>
      </c>
      <c r="Q66">
        <v>99.156475202999999</v>
      </c>
      <c r="R66">
        <v>98.584336611400005</v>
      </c>
      <c r="S66">
        <v>99.62462309</v>
      </c>
      <c r="T66">
        <v>98.498873858600007</v>
      </c>
      <c r="U66">
        <v>99.6816514394</v>
      </c>
      <c r="V66">
        <v>98.896583903000007</v>
      </c>
      <c r="W66">
        <v>99.222385189099995</v>
      </c>
      <c r="X66">
        <v>99.144875374400002</v>
      </c>
      <c r="Y66">
        <v>98.577177799300003</v>
      </c>
      <c r="Z66">
        <v>97.789369228599995</v>
      </c>
      <c r="AA66">
        <v>98.554707027299997</v>
      </c>
      <c r="AB66">
        <v>98.883961752100006</v>
      </c>
      <c r="AC66">
        <v>99.251915549100005</v>
      </c>
      <c r="AD66">
        <v>99.574406214500002</v>
      </c>
      <c r="AE66">
        <v>99.088162251900002</v>
      </c>
      <c r="AF66">
        <f t="shared" si="0"/>
        <v>98.98643262275499</v>
      </c>
      <c r="AG66">
        <f t="shared" si="1"/>
        <v>0.64778054034064325</v>
      </c>
    </row>
    <row r="67" spans="1:33" ht="15" hidden="1" customHeight="1" x14ac:dyDescent="0.35">
      <c r="A67">
        <v>100</v>
      </c>
      <c r="B67">
        <v>20</v>
      </c>
      <c r="C67">
        <v>6</v>
      </c>
      <c r="D67">
        <v>2</v>
      </c>
      <c r="E67">
        <v>2</v>
      </c>
      <c r="F67">
        <v>-1</v>
      </c>
      <c r="G67">
        <v>0</v>
      </c>
      <c r="H67">
        <v>1000000000</v>
      </c>
      <c r="I67">
        <v>100</v>
      </c>
      <c r="J67">
        <v>72</v>
      </c>
      <c r="K67">
        <v>24.666666666699999</v>
      </c>
      <c r="L67">
        <v>22.731772062800001</v>
      </c>
      <c r="M67">
        <v>20.109761388300001</v>
      </c>
      <c r="N67">
        <v>24.962738786100001</v>
      </c>
      <c r="O67">
        <v>22.789425660300001</v>
      </c>
      <c r="P67">
        <v>19.0588109501</v>
      </c>
      <c r="Q67">
        <v>20.9996620517</v>
      </c>
      <c r="R67">
        <v>16.9121223448</v>
      </c>
      <c r="S67">
        <v>21.907821702500001</v>
      </c>
      <c r="T67">
        <v>19.861415926900001</v>
      </c>
      <c r="U67">
        <v>15.5814547161</v>
      </c>
      <c r="V67">
        <v>17.976689804100001</v>
      </c>
      <c r="W67">
        <v>16.434484036299999</v>
      </c>
      <c r="X67">
        <v>15.1293813431</v>
      </c>
      <c r="Y67">
        <v>21.764076232000001</v>
      </c>
      <c r="Z67">
        <v>19.899278815199999</v>
      </c>
      <c r="AA67">
        <v>23.0490827024</v>
      </c>
      <c r="AB67">
        <v>24.645571201999999</v>
      </c>
      <c r="AC67">
        <v>15.148950081500001</v>
      </c>
      <c r="AD67">
        <v>10.7170522875</v>
      </c>
      <c r="AE67">
        <v>17.9663867959</v>
      </c>
      <c r="AF67">
        <f t="shared" si="0"/>
        <v>19.382296944479997</v>
      </c>
      <c r="AG67">
        <f t="shared" si="1"/>
        <v>3.5723044739740808</v>
      </c>
    </row>
    <row r="68" spans="1:33" ht="15" hidden="1" customHeight="1" x14ac:dyDescent="0.35">
      <c r="A68">
        <v>100</v>
      </c>
      <c r="B68">
        <v>20</v>
      </c>
      <c r="C68">
        <v>6</v>
      </c>
      <c r="D68">
        <v>2</v>
      </c>
      <c r="E68">
        <v>2</v>
      </c>
      <c r="F68">
        <v>-1</v>
      </c>
      <c r="G68">
        <v>0</v>
      </c>
      <c r="H68">
        <v>1000000000</v>
      </c>
      <c r="I68">
        <v>100</v>
      </c>
      <c r="J68">
        <v>76</v>
      </c>
      <c r="K68">
        <v>24.666666666699999</v>
      </c>
      <c r="L68">
        <v>26.211277001999999</v>
      </c>
      <c r="M68">
        <v>18.1889146008</v>
      </c>
      <c r="N68">
        <v>23.4716545275</v>
      </c>
      <c r="O68">
        <v>31.186340275199999</v>
      </c>
      <c r="P68">
        <v>23.904849300599999</v>
      </c>
      <c r="Q68">
        <v>21.024264247000001</v>
      </c>
      <c r="R68">
        <v>28.0309025701</v>
      </c>
      <c r="S68">
        <v>31.780838773100001</v>
      </c>
      <c r="T68">
        <v>25.569195798599999</v>
      </c>
      <c r="U68">
        <v>31.545650195899999</v>
      </c>
      <c r="V68">
        <v>26.9551184452</v>
      </c>
      <c r="W68">
        <v>25.503125742400002</v>
      </c>
      <c r="X68">
        <v>25.752733296500001</v>
      </c>
      <c r="Y68">
        <v>19.4748782128</v>
      </c>
      <c r="Z68">
        <v>16.063457764999999</v>
      </c>
      <c r="AA68">
        <v>22.787885290799998</v>
      </c>
      <c r="AB68">
        <v>26.739129390799999</v>
      </c>
      <c r="AC68">
        <v>23.6896178734</v>
      </c>
      <c r="AD68">
        <v>26.707925514599999</v>
      </c>
      <c r="AE68">
        <v>25.0017025822</v>
      </c>
      <c r="AF68">
        <f t="shared" si="0"/>
        <v>24.979473070224998</v>
      </c>
      <c r="AG68">
        <f t="shared" si="1"/>
        <v>4.0705092762404309</v>
      </c>
    </row>
    <row r="69" spans="1:33" ht="15" hidden="1" customHeight="1" x14ac:dyDescent="0.35">
      <c r="A69">
        <v>100</v>
      </c>
      <c r="B69">
        <v>20</v>
      </c>
      <c r="C69">
        <v>6</v>
      </c>
      <c r="D69">
        <v>2</v>
      </c>
      <c r="E69">
        <v>2</v>
      </c>
      <c r="F69">
        <v>-1</v>
      </c>
      <c r="G69">
        <v>0</v>
      </c>
      <c r="H69">
        <v>1000000000</v>
      </c>
      <c r="I69">
        <v>100</v>
      </c>
      <c r="J69">
        <v>80</v>
      </c>
      <c r="K69">
        <v>24.666666666699999</v>
      </c>
      <c r="L69">
        <v>35.47875457</v>
      </c>
      <c r="M69">
        <v>30.075193586099999</v>
      </c>
      <c r="N69">
        <v>29.612334452100001</v>
      </c>
      <c r="O69">
        <v>31.967500854200001</v>
      </c>
      <c r="P69">
        <v>30.641718141799998</v>
      </c>
      <c r="Q69">
        <v>27.5676066977</v>
      </c>
      <c r="R69">
        <v>28.6645641259</v>
      </c>
      <c r="S69">
        <v>23.042738397400001</v>
      </c>
      <c r="T69">
        <v>41.757141197099997</v>
      </c>
      <c r="U69">
        <v>30.718924684899999</v>
      </c>
      <c r="V69">
        <v>29.689699962999999</v>
      </c>
      <c r="W69">
        <v>35.487043651100002</v>
      </c>
      <c r="X69">
        <v>33.1072843273</v>
      </c>
      <c r="Y69">
        <v>32.021490070299997</v>
      </c>
      <c r="Z69">
        <v>25.8805835784</v>
      </c>
      <c r="AA69">
        <v>33.495691469400001</v>
      </c>
      <c r="AB69">
        <v>29.897448416700001</v>
      </c>
      <c r="AC69">
        <v>35.0761804638</v>
      </c>
      <c r="AD69">
        <v>29.283354711000001</v>
      </c>
      <c r="AE69">
        <v>31.933464797999999</v>
      </c>
      <c r="AF69">
        <f t="shared" si="0"/>
        <v>31.269935907810009</v>
      </c>
      <c r="AG69">
        <f t="shared" si="1"/>
        <v>3.8743803312923237</v>
      </c>
    </row>
    <row r="70" spans="1:33" ht="15" hidden="1" customHeight="1" x14ac:dyDescent="0.35">
      <c r="A70">
        <v>100</v>
      </c>
      <c r="B70">
        <v>20</v>
      </c>
      <c r="C70">
        <v>8</v>
      </c>
      <c r="D70">
        <v>2</v>
      </c>
      <c r="E70">
        <v>2</v>
      </c>
      <c r="F70">
        <v>-1</v>
      </c>
      <c r="G70">
        <v>0</v>
      </c>
      <c r="H70">
        <v>1000000000</v>
      </c>
      <c r="I70">
        <v>100</v>
      </c>
      <c r="J70">
        <v>72</v>
      </c>
      <c r="K70">
        <v>24.666666666699999</v>
      </c>
      <c r="L70">
        <v>48.8746921937</v>
      </c>
      <c r="M70">
        <v>44.1023001724</v>
      </c>
      <c r="N70">
        <v>49.267899329800002</v>
      </c>
      <c r="O70">
        <v>44.306078320899999</v>
      </c>
      <c r="P70">
        <v>52.701056727400001</v>
      </c>
      <c r="Q70">
        <v>48.183908832500002</v>
      </c>
      <c r="R70">
        <v>47.683086138299998</v>
      </c>
      <c r="S70">
        <v>54.520244338600001</v>
      </c>
      <c r="T70">
        <v>54.1796307153</v>
      </c>
      <c r="U70">
        <v>47.530889112399997</v>
      </c>
      <c r="V70">
        <v>58.152067366600001</v>
      </c>
      <c r="W70">
        <v>50.245976125399999</v>
      </c>
      <c r="X70">
        <v>57.009859677100003</v>
      </c>
      <c r="Y70">
        <v>53.017091217900003</v>
      </c>
      <c r="Z70">
        <v>53.493728092799998</v>
      </c>
      <c r="AA70">
        <v>47.696753694900003</v>
      </c>
      <c r="AB70">
        <v>50.120487474599997</v>
      </c>
      <c r="AC70">
        <v>52.7810272822</v>
      </c>
      <c r="AD70">
        <v>46.702764030200001</v>
      </c>
      <c r="AE70">
        <v>39.948149612599998</v>
      </c>
      <c r="AF70">
        <f t="shared" si="0"/>
        <v>50.025884522780004</v>
      </c>
      <c r="AG70">
        <f t="shared" si="1"/>
        <v>4.4208696004358021</v>
      </c>
    </row>
    <row r="71" spans="1:33" ht="15" customHeight="1" x14ac:dyDescent="0.35">
      <c r="A71">
        <v>100</v>
      </c>
      <c r="B71">
        <v>20</v>
      </c>
      <c r="C71">
        <v>8</v>
      </c>
      <c r="D71">
        <v>2</v>
      </c>
      <c r="E71">
        <v>2</v>
      </c>
      <c r="F71">
        <v>-1</v>
      </c>
      <c r="G71">
        <v>0</v>
      </c>
      <c r="H71">
        <v>1000000000</v>
      </c>
      <c r="I71">
        <v>100</v>
      </c>
      <c r="J71">
        <v>76</v>
      </c>
      <c r="K71">
        <v>24.666666666699999</v>
      </c>
      <c r="L71">
        <v>67.513889737100001</v>
      </c>
      <c r="M71">
        <v>66.665207018199993</v>
      </c>
      <c r="N71">
        <v>59.013238134300003</v>
      </c>
      <c r="O71">
        <v>64.975631766000006</v>
      </c>
      <c r="P71">
        <v>69.380484988999996</v>
      </c>
      <c r="Q71">
        <v>60.911812639799997</v>
      </c>
      <c r="R71">
        <v>53.573567250300002</v>
      </c>
      <c r="S71">
        <v>58.780876365300003</v>
      </c>
      <c r="T71">
        <v>65.1803114314</v>
      </c>
      <c r="U71">
        <v>62.393863724299997</v>
      </c>
      <c r="V71">
        <v>53.895166697100002</v>
      </c>
      <c r="W71">
        <v>63.6944627536</v>
      </c>
      <c r="X71">
        <v>63.364389360399997</v>
      </c>
      <c r="Y71">
        <v>59.200404065400001</v>
      </c>
      <c r="Z71">
        <v>63.2448206324</v>
      </c>
      <c r="AA71">
        <v>62.887487311999998</v>
      </c>
      <c r="AB71">
        <v>59.719231989900003</v>
      </c>
      <c r="AC71">
        <v>67.228132931900006</v>
      </c>
      <c r="AD71">
        <v>60.549356622399998</v>
      </c>
      <c r="AE71">
        <v>51.961324819600001</v>
      </c>
      <c r="AF71">
        <f t="shared" si="0"/>
        <v>61.706683012019994</v>
      </c>
      <c r="AG71">
        <f t="shared" si="1"/>
        <v>4.6450241818601636</v>
      </c>
    </row>
    <row r="72" spans="1:33" ht="15" hidden="1" customHeight="1" x14ac:dyDescent="0.35">
      <c r="A72">
        <v>100</v>
      </c>
      <c r="B72">
        <v>20</v>
      </c>
      <c r="C72">
        <v>8</v>
      </c>
      <c r="D72">
        <v>2</v>
      </c>
      <c r="E72">
        <v>2</v>
      </c>
      <c r="F72">
        <v>-1</v>
      </c>
      <c r="G72">
        <v>0</v>
      </c>
      <c r="H72">
        <v>1000000000</v>
      </c>
      <c r="I72">
        <v>100</v>
      </c>
      <c r="J72">
        <v>80</v>
      </c>
      <c r="K72">
        <v>24.666666666699999</v>
      </c>
      <c r="L72">
        <v>65.407445987700001</v>
      </c>
      <c r="M72">
        <v>68.591419780699994</v>
      </c>
      <c r="N72">
        <v>62.316449174799999</v>
      </c>
      <c r="O72">
        <v>68.798769767600007</v>
      </c>
      <c r="P72">
        <v>65.475651825400007</v>
      </c>
      <c r="Q72">
        <v>68.678671619699998</v>
      </c>
      <c r="R72">
        <v>69.937280713000007</v>
      </c>
      <c r="S72">
        <v>66.153036916000005</v>
      </c>
      <c r="T72">
        <v>72.7698465908</v>
      </c>
      <c r="U72">
        <v>65.817117358700003</v>
      </c>
      <c r="V72">
        <v>67.968262818699998</v>
      </c>
      <c r="W72">
        <v>75.960243174499993</v>
      </c>
      <c r="X72">
        <v>65.367197580199999</v>
      </c>
      <c r="Y72">
        <v>67.241483577300002</v>
      </c>
      <c r="Z72">
        <v>70.3880613611</v>
      </c>
      <c r="AA72">
        <v>69.209776863599998</v>
      </c>
      <c r="AB72">
        <v>69.179883287500004</v>
      </c>
      <c r="AC72">
        <v>67.729353121800003</v>
      </c>
      <c r="AD72">
        <v>64.970360585500003</v>
      </c>
      <c r="AE72">
        <v>61.230432893699998</v>
      </c>
      <c r="AF72">
        <f t="shared" si="0"/>
        <v>67.65953724991499</v>
      </c>
      <c r="AG72">
        <f t="shared" si="1"/>
        <v>3.2689315525615754</v>
      </c>
    </row>
    <row r="73" spans="1:33" hidden="1" x14ac:dyDescent="0.35">
      <c r="A73">
        <v>100</v>
      </c>
      <c r="B73">
        <v>20</v>
      </c>
      <c r="C73">
        <v>10</v>
      </c>
      <c r="D73">
        <v>2</v>
      </c>
      <c r="E73">
        <v>2</v>
      </c>
      <c r="F73">
        <v>-1</v>
      </c>
      <c r="G73">
        <v>0</v>
      </c>
      <c r="H73">
        <v>1000000000</v>
      </c>
      <c r="I73">
        <v>100</v>
      </c>
      <c r="J73">
        <v>72</v>
      </c>
      <c r="K73">
        <v>24.666666666699999</v>
      </c>
      <c r="L73">
        <v>81.956987206099996</v>
      </c>
      <c r="M73">
        <v>89.479199831200006</v>
      </c>
      <c r="N73">
        <v>82.702368397300006</v>
      </c>
      <c r="O73">
        <v>82.296451803400004</v>
      </c>
      <c r="P73">
        <v>86.542354907700002</v>
      </c>
      <c r="Q73">
        <v>84.1016644722</v>
      </c>
      <c r="R73">
        <v>87.770200613499995</v>
      </c>
      <c r="S73">
        <v>86.160962957099997</v>
      </c>
      <c r="T73">
        <v>82.440269470199993</v>
      </c>
      <c r="U73">
        <v>86.964991241000007</v>
      </c>
      <c r="V73">
        <v>88.883819685399999</v>
      </c>
      <c r="W73">
        <v>90.343970988199999</v>
      </c>
      <c r="X73">
        <v>81.950857408000005</v>
      </c>
      <c r="Y73">
        <v>76.577852438799994</v>
      </c>
      <c r="Z73">
        <v>83.561901575899995</v>
      </c>
      <c r="AA73">
        <v>83.073831428899993</v>
      </c>
      <c r="AB73">
        <v>83.378276458000002</v>
      </c>
      <c r="AC73">
        <v>86.320183047499995</v>
      </c>
      <c r="AD73">
        <v>85.986024374699994</v>
      </c>
      <c r="AE73">
        <v>87.529392157800004</v>
      </c>
      <c r="AF73">
        <f t="shared" si="0"/>
        <v>84.901078023145004</v>
      </c>
      <c r="AG73">
        <f t="shared" si="1"/>
        <v>3.2072571344433163</v>
      </c>
    </row>
    <row r="74" spans="1:33" hidden="1" x14ac:dyDescent="0.35">
      <c r="A74">
        <v>100</v>
      </c>
      <c r="B74">
        <v>20</v>
      </c>
      <c r="C74">
        <v>10</v>
      </c>
      <c r="D74">
        <v>2</v>
      </c>
      <c r="E74">
        <v>2</v>
      </c>
      <c r="F74">
        <v>-1</v>
      </c>
      <c r="G74">
        <v>0</v>
      </c>
      <c r="H74">
        <v>1000000000</v>
      </c>
      <c r="I74">
        <v>100</v>
      </c>
      <c r="J74">
        <v>76</v>
      </c>
      <c r="K74">
        <v>24.666666666699999</v>
      </c>
      <c r="L74">
        <v>86.819425090600006</v>
      </c>
      <c r="M74">
        <v>90.331083070600002</v>
      </c>
      <c r="N74">
        <v>89.338287351199995</v>
      </c>
      <c r="O74">
        <v>91.211368504999996</v>
      </c>
      <c r="P74">
        <v>89.718277579499997</v>
      </c>
      <c r="Q74">
        <v>90.125464451200003</v>
      </c>
      <c r="R74">
        <v>89.618524340099995</v>
      </c>
      <c r="S74">
        <v>89.136010598699997</v>
      </c>
      <c r="T74">
        <v>89.387193465699994</v>
      </c>
      <c r="U74">
        <v>89.959771260099998</v>
      </c>
      <c r="V74">
        <v>89.273199785499997</v>
      </c>
      <c r="W74">
        <v>91.924351240799993</v>
      </c>
      <c r="X74">
        <v>86.514944803299997</v>
      </c>
      <c r="Y74">
        <v>87.257482368300003</v>
      </c>
      <c r="Z74">
        <v>88.759112193299998</v>
      </c>
      <c r="AA74">
        <v>89.047233659699998</v>
      </c>
      <c r="AB74">
        <v>86.584349290399999</v>
      </c>
      <c r="AC74">
        <v>90.346446080600003</v>
      </c>
      <c r="AD74">
        <v>88.799894785399999</v>
      </c>
      <c r="AE74">
        <v>91.430953360800004</v>
      </c>
      <c r="AF74">
        <f t="shared" si="0"/>
        <v>89.27916866404</v>
      </c>
      <c r="AG74">
        <f t="shared" si="1"/>
        <v>1.495389147370026</v>
      </c>
    </row>
    <row r="75" spans="1:33" hidden="1" x14ac:dyDescent="0.35">
      <c r="A75">
        <v>100</v>
      </c>
      <c r="B75">
        <v>20</v>
      </c>
      <c r="C75">
        <v>10</v>
      </c>
      <c r="D75">
        <v>2</v>
      </c>
      <c r="E75">
        <v>2</v>
      </c>
      <c r="F75">
        <v>-1</v>
      </c>
      <c r="G75">
        <v>0</v>
      </c>
      <c r="H75">
        <v>1000000000</v>
      </c>
      <c r="I75">
        <v>100</v>
      </c>
      <c r="J75">
        <v>80</v>
      </c>
      <c r="K75">
        <v>24.666666666699999</v>
      </c>
      <c r="L75">
        <v>93.784409625600006</v>
      </c>
      <c r="M75">
        <v>92.506154463000001</v>
      </c>
      <c r="N75">
        <v>93.631978092699995</v>
      </c>
      <c r="O75">
        <v>91.303370079600001</v>
      </c>
      <c r="P75">
        <v>90.176455701999998</v>
      </c>
      <c r="Q75">
        <v>96.439441824400006</v>
      </c>
      <c r="R75">
        <v>90.771507392299995</v>
      </c>
      <c r="S75">
        <v>92.606276603400005</v>
      </c>
      <c r="T75">
        <v>92.520766795900002</v>
      </c>
      <c r="U75">
        <v>95.271758717899999</v>
      </c>
      <c r="V75">
        <v>94.208550982700004</v>
      </c>
      <c r="W75">
        <v>91.288845330900003</v>
      </c>
      <c r="X75">
        <v>87.581508539400005</v>
      </c>
      <c r="Y75">
        <v>89.698702990399994</v>
      </c>
      <c r="Z75">
        <v>92.323920113499994</v>
      </c>
      <c r="AA75">
        <v>92.639661506300001</v>
      </c>
      <c r="AB75">
        <v>91.167326534799997</v>
      </c>
      <c r="AC75">
        <v>95.0916108272</v>
      </c>
      <c r="AD75">
        <v>91.283467976899999</v>
      </c>
      <c r="AE75">
        <v>90.439726639499995</v>
      </c>
      <c r="AF75">
        <f t="shared" si="0"/>
        <v>92.236772036919987</v>
      </c>
      <c r="AG75">
        <f t="shared" si="1"/>
        <v>2.0648232350854494</v>
      </c>
    </row>
    <row r="76" spans="1:33" ht="15" hidden="1" customHeight="1" x14ac:dyDescent="0.35">
      <c r="A76">
        <v>100</v>
      </c>
      <c r="B76">
        <v>20</v>
      </c>
      <c r="C76">
        <v>12</v>
      </c>
      <c r="D76">
        <v>2</v>
      </c>
      <c r="E76">
        <v>2</v>
      </c>
      <c r="F76">
        <v>-1</v>
      </c>
      <c r="G76">
        <v>0</v>
      </c>
      <c r="H76">
        <v>1000000000</v>
      </c>
      <c r="I76">
        <v>100</v>
      </c>
      <c r="J76">
        <v>72</v>
      </c>
      <c r="K76">
        <v>24.666666666699999</v>
      </c>
      <c r="L76">
        <v>97.073968653400001</v>
      </c>
      <c r="M76">
        <v>98.114694795199995</v>
      </c>
      <c r="N76">
        <v>97.796718359400003</v>
      </c>
      <c r="O76">
        <v>95.469943408800006</v>
      </c>
      <c r="P76">
        <v>98.354439387400006</v>
      </c>
      <c r="Q76">
        <v>97.401397053799997</v>
      </c>
      <c r="R76">
        <v>99.226327765299999</v>
      </c>
      <c r="S76">
        <v>97.814510330000005</v>
      </c>
      <c r="T76">
        <v>98.768993038700003</v>
      </c>
      <c r="U76">
        <v>97.481702253099996</v>
      </c>
      <c r="V76">
        <v>95.6328252709</v>
      </c>
      <c r="W76">
        <v>98.447688640899997</v>
      </c>
      <c r="X76">
        <v>95.259728422500004</v>
      </c>
      <c r="Y76">
        <v>99.196258962200005</v>
      </c>
      <c r="Z76">
        <v>97.4605737885</v>
      </c>
      <c r="AA76">
        <v>97.623546555999994</v>
      </c>
      <c r="AB76">
        <v>96.734909071999994</v>
      </c>
      <c r="AC76">
        <v>96.945072347500002</v>
      </c>
      <c r="AD76">
        <v>96.552638636099999</v>
      </c>
      <c r="AE76">
        <v>95.594203041300005</v>
      </c>
      <c r="AF76">
        <f t="shared" si="0"/>
        <v>97.347506989150006</v>
      </c>
      <c r="AG76">
        <f t="shared" si="1"/>
        <v>1.171607491288601</v>
      </c>
    </row>
    <row r="77" spans="1:33" ht="15" hidden="1" customHeight="1" x14ac:dyDescent="0.35">
      <c r="A77">
        <v>100</v>
      </c>
      <c r="B77">
        <v>20</v>
      </c>
      <c r="C77">
        <v>12</v>
      </c>
      <c r="D77">
        <v>2</v>
      </c>
      <c r="E77">
        <v>2</v>
      </c>
      <c r="F77">
        <v>-1</v>
      </c>
      <c r="G77">
        <v>0</v>
      </c>
      <c r="H77">
        <v>1000000000</v>
      </c>
      <c r="I77">
        <v>100</v>
      </c>
      <c r="J77">
        <v>76</v>
      </c>
      <c r="K77">
        <v>24.666666666699999</v>
      </c>
      <c r="L77">
        <v>97.201907543499999</v>
      </c>
      <c r="M77">
        <v>98.8730991555</v>
      </c>
      <c r="N77">
        <v>99.918757965599994</v>
      </c>
      <c r="O77">
        <v>99.308891024600001</v>
      </c>
      <c r="P77">
        <v>96.642439977699993</v>
      </c>
      <c r="Q77">
        <v>97.893971182000001</v>
      </c>
      <c r="R77">
        <v>99.129403697599997</v>
      </c>
      <c r="S77">
        <v>99.523044155700006</v>
      </c>
      <c r="T77">
        <v>98.955003107600007</v>
      </c>
      <c r="U77">
        <v>96.894892604000006</v>
      </c>
      <c r="V77">
        <v>96.230614050200003</v>
      </c>
      <c r="W77">
        <v>97.483086484899999</v>
      </c>
      <c r="X77">
        <v>98.780667750899994</v>
      </c>
      <c r="Y77">
        <v>99.207097925599996</v>
      </c>
      <c r="Z77">
        <v>98.688481233600001</v>
      </c>
      <c r="AA77">
        <v>97.347803397500002</v>
      </c>
      <c r="AB77">
        <v>96.901893023</v>
      </c>
      <c r="AC77">
        <v>97.630454538999999</v>
      </c>
      <c r="AD77">
        <v>99.285556082200003</v>
      </c>
      <c r="AE77">
        <v>99.832429871100004</v>
      </c>
      <c r="AF77">
        <f t="shared" si="0"/>
        <v>98.286474738589988</v>
      </c>
      <c r="AG77">
        <f t="shared" si="1"/>
        <v>1.1280984862365271</v>
      </c>
    </row>
    <row r="78" spans="1:33" ht="15" hidden="1" customHeight="1" x14ac:dyDescent="0.35">
      <c r="A78">
        <v>100</v>
      </c>
      <c r="B78">
        <v>20</v>
      </c>
      <c r="C78">
        <v>12</v>
      </c>
      <c r="D78">
        <v>2</v>
      </c>
      <c r="E78">
        <v>2</v>
      </c>
      <c r="F78">
        <v>-1</v>
      </c>
      <c r="G78">
        <v>0</v>
      </c>
      <c r="H78">
        <v>1000000000</v>
      </c>
      <c r="I78">
        <v>100</v>
      </c>
      <c r="J78">
        <v>80</v>
      </c>
      <c r="K78">
        <v>24.666666666699999</v>
      </c>
      <c r="L78">
        <v>98.677803279100004</v>
      </c>
      <c r="M78">
        <v>99.275922265600002</v>
      </c>
      <c r="N78">
        <v>99.750119975800004</v>
      </c>
      <c r="O78">
        <v>99.874677108100002</v>
      </c>
      <c r="P78">
        <v>98.118964006100001</v>
      </c>
      <c r="Q78">
        <v>97.020993060999999</v>
      </c>
      <c r="R78">
        <v>99.533502585500003</v>
      </c>
      <c r="S78">
        <v>99.097447711300006</v>
      </c>
      <c r="T78">
        <v>98.710286807000003</v>
      </c>
      <c r="U78">
        <v>98.354098802300001</v>
      </c>
      <c r="V78">
        <v>99.853749558999993</v>
      </c>
      <c r="W78">
        <v>98.516266631299999</v>
      </c>
      <c r="X78">
        <v>99.500598846499997</v>
      </c>
      <c r="Y78">
        <v>99.436077566799995</v>
      </c>
      <c r="Z78">
        <v>98.628799413300001</v>
      </c>
      <c r="AA78">
        <v>99.380411637600005</v>
      </c>
      <c r="AB78">
        <v>99.947620000599997</v>
      </c>
      <c r="AC78">
        <v>98.812998558100006</v>
      </c>
      <c r="AD78">
        <v>98.802468567399998</v>
      </c>
      <c r="AE78">
        <v>99.7160202954</v>
      </c>
      <c r="AF78">
        <f t="shared" si="0"/>
        <v>99.050441333889992</v>
      </c>
      <c r="AG78">
        <f t="shared" si="1"/>
        <v>0.71118008553126211</v>
      </c>
    </row>
    <row r="79" spans="1:33" ht="15" hidden="1" customHeight="1" x14ac:dyDescent="0.35">
      <c r="A79">
        <v>100</v>
      </c>
      <c r="B79">
        <v>20</v>
      </c>
      <c r="C79">
        <v>6</v>
      </c>
      <c r="D79">
        <v>2</v>
      </c>
      <c r="E79">
        <v>2</v>
      </c>
      <c r="F79">
        <v>0</v>
      </c>
      <c r="G79">
        <v>0</v>
      </c>
      <c r="H79">
        <v>1000000000</v>
      </c>
      <c r="I79">
        <v>100</v>
      </c>
      <c r="J79">
        <v>72</v>
      </c>
      <c r="K79">
        <v>24.666666666699999</v>
      </c>
      <c r="L79">
        <v>31.3717820263</v>
      </c>
      <c r="M79">
        <v>22.414290728499999</v>
      </c>
      <c r="N79">
        <v>13.791762376199999</v>
      </c>
      <c r="O79">
        <v>25.948684977599999</v>
      </c>
      <c r="P79">
        <v>13.923364772199999</v>
      </c>
      <c r="Q79">
        <v>19.923057377199999</v>
      </c>
      <c r="R79">
        <v>14.6028991578</v>
      </c>
      <c r="S79">
        <v>19.7004305761</v>
      </c>
      <c r="T79">
        <v>19.542236360299999</v>
      </c>
      <c r="U79">
        <v>15.758778041199999</v>
      </c>
      <c r="V79">
        <v>14.786550464399999</v>
      </c>
      <c r="W79">
        <v>17.2661528639</v>
      </c>
      <c r="X79">
        <v>20.906157070999999</v>
      </c>
      <c r="Y79">
        <v>18.452083180300001</v>
      </c>
      <c r="Z79">
        <v>18.3466394115</v>
      </c>
      <c r="AA79">
        <v>20.988332156799999</v>
      </c>
      <c r="AB79">
        <v>13.0765813329</v>
      </c>
      <c r="AC79">
        <v>20.564434864399999</v>
      </c>
      <c r="AD79">
        <v>21.288535806999999</v>
      </c>
      <c r="AE79">
        <v>22.3322663127</v>
      </c>
      <c r="AF79">
        <f t="shared" si="0"/>
        <v>19.249250992915002</v>
      </c>
      <c r="AG79">
        <f t="shared" si="1"/>
        <v>4.3536411600928311</v>
      </c>
    </row>
    <row r="80" spans="1:33" ht="15" hidden="1" customHeight="1" x14ac:dyDescent="0.35">
      <c r="A80">
        <v>100</v>
      </c>
      <c r="B80">
        <v>20</v>
      </c>
      <c r="C80">
        <v>6</v>
      </c>
      <c r="D80">
        <v>2</v>
      </c>
      <c r="E80">
        <v>2</v>
      </c>
      <c r="F80">
        <v>0</v>
      </c>
      <c r="G80">
        <v>0</v>
      </c>
      <c r="H80">
        <v>1000000000</v>
      </c>
      <c r="I80">
        <v>100</v>
      </c>
      <c r="J80">
        <v>76</v>
      </c>
      <c r="K80">
        <v>24.666666666699999</v>
      </c>
      <c r="L80">
        <v>30.102768002000001</v>
      </c>
      <c r="M80">
        <v>26.942336857400001</v>
      </c>
      <c r="N80">
        <v>21.038145703200001</v>
      </c>
      <c r="O80">
        <v>25.004992830100001</v>
      </c>
      <c r="P80">
        <v>17.560405955</v>
      </c>
      <c r="Q80">
        <v>19.9782784935</v>
      </c>
      <c r="R80">
        <v>21.322768143400001</v>
      </c>
      <c r="S80">
        <v>20.1944458597</v>
      </c>
      <c r="T80">
        <v>18.2528414975</v>
      </c>
      <c r="U80">
        <v>25.845526993499998</v>
      </c>
      <c r="V80">
        <v>23.1578376617</v>
      </c>
      <c r="W80">
        <v>22.559315721699999</v>
      </c>
      <c r="X80">
        <v>31.711187042700001</v>
      </c>
      <c r="Y80">
        <v>18.552359076399998</v>
      </c>
      <c r="Z80">
        <v>28.2936045732</v>
      </c>
      <c r="AA80">
        <v>30.712475098700001</v>
      </c>
      <c r="AB80">
        <v>36.277904434600003</v>
      </c>
      <c r="AC80">
        <v>24.014814677699999</v>
      </c>
      <c r="AD80">
        <v>32.658105942699997</v>
      </c>
      <c r="AE80">
        <v>25.875319073899998</v>
      </c>
      <c r="AF80">
        <f t="shared" si="0"/>
        <v>25.002771681930003</v>
      </c>
      <c r="AG80">
        <f t="shared" si="1"/>
        <v>5.1766015287826006</v>
      </c>
    </row>
    <row r="81" spans="1:33" ht="15" hidden="1" customHeight="1" x14ac:dyDescent="0.35">
      <c r="A81">
        <v>100</v>
      </c>
      <c r="B81">
        <v>20</v>
      </c>
      <c r="C81">
        <v>6</v>
      </c>
      <c r="D81">
        <v>2</v>
      </c>
      <c r="E81">
        <v>2</v>
      </c>
      <c r="F81">
        <v>0</v>
      </c>
      <c r="G81">
        <v>0</v>
      </c>
      <c r="H81">
        <v>1000000000</v>
      </c>
      <c r="I81">
        <v>100</v>
      </c>
      <c r="J81">
        <v>80</v>
      </c>
      <c r="K81">
        <v>24.666666666699999</v>
      </c>
      <c r="L81">
        <v>31.639556153600001</v>
      </c>
      <c r="M81">
        <v>39.189057474000002</v>
      </c>
      <c r="N81">
        <v>37.2918448717</v>
      </c>
      <c r="O81">
        <v>29.6928132404</v>
      </c>
      <c r="P81">
        <v>35.135951729299997</v>
      </c>
      <c r="Q81">
        <v>30.3998637768</v>
      </c>
      <c r="R81">
        <v>30.898468017999999</v>
      </c>
      <c r="S81">
        <v>31.543733876400001</v>
      </c>
      <c r="T81">
        <v>31.049308906499999</v>
      </c>
      <c r="U81">
        <v>34.353416765600002</v>
      </c>
      <c r="V81">
        <v>31.3766230357</v>
      </c>
      <c r="W81">
        <v>33.465160063299997</v>
      </c>
      <c r="X81">
        <v>33.523617472600002</v>
      </c>
      <c r="Y81">
        <v>32.629315196699999</v>
      </c>
      <c r="Z81">
        <v>34.024687148200002</v>
      </c>
      <c r="AA81">
        <v>33.290571674600002</v>
      </c>
      <c r="AB81">
        <v>27.825587821999999</v>
      </c>
      <c r="AC81">
        <v>31.487049580499999</v>
      </c>
      <c r="AD81">
        <v>36.911680156999999</v>
      </c>
      <c r="AE81">
        <v>29.2626520546</v>
      </c>
      <c r="AF81">
        <f t="shared" si="0"/>
        <v>32.749547950874998</v>
      </c>
      <c r="AG81">
        <f t="shared" si="1"/>
        <v>2.7792580571871279</v>
      </c>
    </row>
    <row r="82" spans="1:33" ht="15" hidden="1" customHeight="1" x14ac:dyDescent="0.35">
      <c r="A82">
        <v>100</v>
      </c>
      <c r="B82">
        <v>20</v>
      </c>
      <c r="C82">
        <v>8</v>
      </c>
      <c r="D82">
        <v>2</v>
      </c>
      <c r="E82">
        <v>2</v>
      </c>
      <c r="F82">
        <v>0</v>
      </c>
      <c r="G82">
        <v>0</v>
      </c>
      <c r="H82">
        <v>1000000000</v>
      </c>
      <c r="I82">
        <v>100</v>
      </c>
      <c r="J82">
        <v>72</v>
      </c>
      <c r="K82">
        <v>24.666666666699999</v>
      </c>
      <c r="L82">
        <v>56.151938318600003</v>
      </c>
      <c r="M82">
        <v>55.619171526800002</v>
      </c>
      <c r="N82">
        <v>49.373397650400001</v>
      </c>
      <c r="O82">
        <v>56.740289385200001</v>
      </c>
      <c r="P82">
        <v>54.105545446400001</v>
      </c>
      <c r="Q82">
        <v>52.526145357799997</v>
      </c>
      <c r="R82">
        <v>47.157728001400002</v>
      </c>
      <c r="S82">
        <v>60.772308871900002</v>
      </c>
      <c r="T82">
        <v>53.385998218300003</v>
      </c>
      <c r="U82">
        <v>49.201099364199997</v>
      </c>
      <c r="V82">
        <v>53.998571389200002</v>
      </c>
      <c r="W82">
        <v>59.105428942300001</v>
      </c>
      <c r="X82">
        <v>53.9314226495</v>
      </c>
      <c r="Y82">
        <v>52.529141735800003</v>
      </c>
      <c r="Z82">
        <v>52.644268460399999</v>
      </c>
      <c r="AA82">
        <v>46.220523401400001</v>
      </c>
      <c r="AB82">
        <v>49.687198412599997</v>
      </c>
      <c r="AC82">
        <v>54.376834062</v>
      </c>
      <c r="AD82">
        <v>59.543896642299998</v>
      </c>
      <c r="AE82">
        <v>54.133792068600002</v>
      </c>
      <c r="AF82">
        <f t="shared" si="0"/>
        <v>53.560234995254994</v>
      </c>
      <c r="AG82">
        <f t="shared" si="1"/>
        <v>3.8121959610163652</v>
      </c>
    </row>
    <row r="83" spans="1:33" ht="15" customHeight="1" x14ac:dyDescent="0.35">
      <c r="A83">
        <v>100</v>
      </c>
      <c r="B83">
        <v>20</v>
      </c>
      <c r="C83">
        <v>8</v>
      </c>
      <c r="D83">
        <v>2</v>
      </c>
      <c r="E83">
        <v>2</v>
      </c>
      <c r="F83">
        <v>0</v>
      </c>
      <c r="G83">
        <v>0</v>
      </c>
      <c r="H83">
        <v>1000000000</v>
      </c>
      <c r="I83">
        <v>100</v>
      </c>
      <c r="J83">
        <v>76</v>
      </c>
      <c r="K83">
        <v>24.666666666699999</v>
      </c>
      <c r="L83">
        <v>62.597306254000003</v>
      </c>
      <c r="M83">
        <v>62.520199130100004</v>
      </c>
      <c r="N83">
        <v>65.723268988599997</v>
      </c>
      <c r="O83">
        <v>60.870555814100001</v>
      </c>
      <c r="P83">
        <v>69.419428617400001</v>
      </c>
      <c r="Q83">
        <v>51.494547257500003</v>
      </c>
      <c r="R83">
        <v>58.085570658899996</v>
      </c>
      <c r="S83">
        <v>56.508904622099998</v>
      </c>
      <c r="T83">
        <v>71.452724802000006</v>
      </c>
      <c r="U83">
        <v>56.922487480400001</v>
      </c>
      <c r="V83">
        <v>68.267106279999993</v>
      </c>
      <c r="W83">
        <v>60.905331801000003</v>
      </c>
      <c r="X83">
        <v>64.451468298400002</v>
      </c>
      <c r="Y83">
        <v>59.0650075442</v>
      </c>
      <c r="Z83">
        <v>53.5234099726</v>
      </c>
      <c r="AA83">
        <v>70.467371844499993</v>
      </c>
      <c r="AB83">
        <v>55.520463979200002</v>
      </c>
      <c r="AC83">
        <v>59.794309280199997</v>
      </c>
      <c r="AD83">
        <v>61.988058017299998</v>
      </c>
      <c r="AE83">
        <v>66.9006872808</v>
      </c>
      <c r="AF83">
        <f t="shared" si="0"/>
        <v>61.823910396165004</v>
      </c>
      <c r="AG83">
        <f t="shared" si="1"/>
        <v>5.5257677705216164</v>
      </c>
    </row>
    <row r="84" spans="1:33" ht="15" hidden="1" customHeight="1" x14ac:dyDescent="0.35">
      <c r="A84">
        <v>100</v>
      </c>
      <c r="B84">
        <v>20</v>
      </c>
      <c r="C84">
        <v>8</v>
      </c>
      <c r="D84">
        <v>2</v>
      </c>
      <c r="E84">
        <v>2</v>
      </c>
      <c r="F84">
        <v>0</v>
      </c>
      <c r="G84">
        <v>0</v>
      </c>
      <c r="H84">
        <v>1000000000</v>
      </c>
      <c r="I84">
        <v>100</v>
      </c>
      <c r="J84">
        <v>80</v>
      </c>
      <c r="K84">
        <v>24.666666666699999</v>
      </c>
      <c r="L84">
        <v>73.245551023700003</v>
      </c>
      <c r="M84">
        <v>69.154282916</v>
      </c>
      <c r="N84">
        <v>64.875143576699998</v>
      </c>
      <c r="O84">
        <v>69.141629193100002</v>
      </c>
      <c r="P84">
        <v>74.340928571500001</v>
      </c>
      <c r="Q84">
        <v>70.989786668999997</v>
      </c>
      <c r="R84">
        <v>69.280624961300006</v>
      </c>
      <c r="S84">
        <v>69.667995403899994</v>
      </c>
      <c r="T84">
        <v>72.975903873500002</v>
      </c>
      <c r="U84">
        <v>66.659399803400007</v>
      </c>
      <c r="V84">
        <v>72.046023581200004</v>
      </c>
      <c r="W84">
        <v>62.349676957100002</v>
      </c>
      <c r="X84">
        <v>70.625709831199998</v>
      </c>
      <c r="Y84">
        <v>73.778005267099999</v>
      </c>
      <c r="Z84">
        <v>68.042569522099996</v>
      </c>
      <c r="AA84">
        <v>72.405812388900003</v>
      </c>
      <c r="AB84">
        <v>72.446672451799998</v>
      </c>
      <c r="AC84">
        <v>64.463072788399998</v>
      </c>
      <c r="AD84">
        <v>69.754645784700003</v>
      </c>
      <c r="AE84">
        <v>69.422359124400003</v>
      </c>
      <c r="AF84">
        <f t="shared" ref="AF84:AF147" si="2">AVERAGE(L84:AE84)</f>
        <v>69.783289684449983</v>
      </c>
      <c r="AG84">
        <f t="shared" ref="AG84:AG147" si="3">_xlfn.STDEV.P(L84:AE84)</f>
        <v>3.1765767796872737</v>
      </c>
    </row>
    <row r="85" spans="1:33" hidden="1" x14ac:dyDescent="0.35">
      <c r="A85">
        <v>100</v>
      </c>
      <c r="B85">
        <v>20</v>
      </c>
      <c r="C85">
        <v>10</v>
      </c>
      <c r="D85">
        <v>2</v>
      </c>
      <c r="E85">
        <v>2</v>
      </c>
      <c r="F85">
        <v>0</v>
      </c>
      <c r="G85">
        <v>0</v>
      </c>
      <c r="H85">
        <v>1000000000</v>
      </c>
      <c r="I85">
        <v>100</v>
      </c>
      <c r="J85">
        <v>72</v>
      </c>
      <c r="K85">
        <v>24.666666666699999</v>
      </c>
      <c r="L85">
        <v>82.373465685799999</v>
      </c>
      <c r="M85">
        <v>81.9088386249</v>
      </c>
      <c r="N85">
        <v>87.222398284700006</v>
      </c>
      <c r="O85">
        <v>90.472865382799995</v>
      </c>
      <c r="P85">
        <v>86.529165435899998</v>
      </c>
      <c r="Q85">
        <v>85.2615523451</v>
      </c>
      <c r="R85">
        <v>82.885654957300005</v>
      </c>
      <c r="S85">
        <v>81.878129184700001</v>
      </c>
      <c r="T85">
        <v>84.458190062499995</v>
      </c>
      <c r="U85">
        <v>85.2016141979</v>
      </c>
      <c r="V85">
        <v>79.178604809899994</v>
      </c>
      <c r="W85">
        <v>85.843305155799996</v>
      </c>
      <c r="X85">
        <v>86.280279732300002</v>
      </c>
      <c r="Y85">
        <v>89.164413130900002</v>
      </c>
      <c r="Z85">
        <v>79.783258614299996</v>
      </c>
      <c r="AA85">
        <v>82.238606712500001</v>
      </c>
      <c r="AB85">
        <v>86.985789601600004</v>
      </c>
      <c r="AC85">
        <v>83.7675349923</v>
      </c>
      <c r="AD85">
        <v>88.987912655200006</v>
      </c>
      <c r="AE85">
        <v>82.784699484599997</v>
      </c>
      <c r="AF85">
        <f t="shared" si="2"/>
        <v>84.660313952549984</v>
      </c>
      <c r="AG85">
        <f t="shared" si="3"/>
        <v>3.0057387599410643</v>
      </c>
    </row>
    <row r="86" spans="1:33" hidden="1" x14ac:dyDescent="0.35">
      <c r="A86">
        <v>100</v>
      </c>
      <c r="B86">
        <v>20</v>
      </c>
      <c r="C86">
        <v>10</v>
      </c>
      <c r="D86">
        <v>2</v>
      </c>
      <c r="E86">
        <v>2</v>
      </c>
      <c r="F86">
        <v>0</v>
      </c>
      <c r="G86">
        <v>0</v>
      </c>
      <c r="H86">
        <v>1000000000</v>
      </c>
      <c r="I86">
        <v>100</v>
      </c>
      <c r="J86">
        <v>76</v>
      </c>
      <c r="K86">
        <v>24.666666666699999</v>
      </c>
      <c r="L86">
        <v>86.942612485400005</v>
      </c>
      <c r="M86">
        <v>91.0514178878</v>
      </c>
      <c r="N86">
        <v>87.874886122800007</v>
      </c>
      <c r="O86">
        <v>89.797217730699998</v>
      </c>
      <c r="P86">
        <v>89.976311534600001</v>
      </c>
      <c r="Q86">
        <v>90.914204740599999</v>
      </c>
      <c r="R86">
        <v>86.783386278899997</v>
      </c>
      <c r="S86">
        <v>91.944093395899998</v>
      </c>
      <c r="T86">
        <v>94.252303394600006</v>
      </c>
      <c r="U86">
        <v>89.274757822500007</v>
      </c>
      <c r="V86">
        <v>92.826552843499996</v>
      </c>
      <c r="W86">
        <v>85.781227469599997</v>
      </c>
      <c r="X86">
        <v>90.364557153099994</v>
      </c>
      <c r="Y86">
        <v>92.059877888499997</v>
      </c>
      <c r="Z86">
        <v>81.788188410900005</v>
      </c>
      <c r="AA86">
        <v>85.506991683899997</v>
      </c>
      <c r="AB86">
        <v>86.794175560300005</v>
      </c>
      <c r="AC86">
        <v>91.045927054499998</v>
      </c>
      <c r="AD86">
        <v>89.807290193900002</v>
      </c>
      <c r="AE86">
        <v>93.897880520900003</v>
      </c>
      <c r="AF86">
        <f t="shared" si="2"/>
        <v>89.434193008644996</v>
      </c>
      <c r="AG86">
        <f t="shared" si="3"/>
        <v>3.0542132336545422</v>
      </c>
    </row>
    <row r="87" spans="1:33" hidden="1" x14ac:dyDescent="0.35">
      <c r="A87">
        <v>100</v>
      </c>
      <c r="B87">
        <v>20</v>
      </c>
      <c r="C87">
        <v>10</v>
      </c>
      <c r="D87">
        <v>2</v>
      </c>
      <c r="E87">
        <v>2</v>
      </c>
      <c r="F87">
        <v>0</v>
      </c>
      <c r="G87">
        <v>0</v>
      </c>
      <c r="H87">
        <v>1000000000</v>
      </c>
      <c r="I87">
        <v>100</v>
      </c>
      <c r="J87">
        <v>80</v>
      </c>
      <c r="K87">
        <v>24.666666666699999</v>
      </c>
      <c r="L87">
        <v>93.539363877900001</v>
      </c>
      <c r="M87">
        <v>92.590406187499994</v>
      </c>
      <c r="N87">
        <v>92.528260482500002</v>
      </c>
      <c r="O87">
        <v>91.352389552800005</v>
      </c>
      <c r="P87">
        <v>95.044790390499998</v>
      </c>
      <c r="Q87">
        <v>95.1103922434</v>
      </c>
      <c r="R87">
        <v>95.721309329899995</v>
      </c>
      <c r="S87">
        <v>94.951108486500004</v>
      </c>
      <c r="T87">
        <v>92.838832890700004</v>
      </c>
      <c r="U87">
        <v>96.610323441999995</v>
      </c>
      <c r="V87">
        <v>91.948687243899997</v>
      </c>
      <c r="W87">
        <v>94.521855493399997</v>
      </c>
      <c r="X87">
        <v>94.740626961299995</v>
      </c>
      <c r="Y87">
        <v>95.464464843499997</v>
      </c>
      <c r="Z87">
        <v>91.575727839799995</v>
      </c>
      <c r="AA87">
        <v>89.265397041300005</v>
      </c>
      <c r="AB87">
        <v>93.659422336000006</v>
      </c>
      <c r="AC87">
        <v>93.079893997200003</v>
      </c>
      <c r="AD87">
        <v>91.720023243399993</v>
      </c>
      <c r="AE87">
        <v>91.337084223800005</v>
      </c>
      <c r="AF87">
        <f t="shared" si="2"/>
        <v>93.380018005365017</v>
      </c>
      <c r="AG87">
        <f t="shared" si="3"/>
        <v>1.827027364751888</v>
      </c>
    </row>
    <row r="88" spans="1:33" ht="15" hidden="1" customHeight="1" x14ac:dyDescent="0.35">
      <c r="A88">
        <v>100</v>
      </c>
      <c r="B88">
        <v>20</v>
      </c>
      <c r="C88">
        <v>12</v>
      </c>
      <c r="D88">
        <v>2</v>
      </c>
      <c r="E88">
        <v>2</v>
      </c>
      <c r="F88">
        <v>0</v>
      </c>
      <c r="G88">
        <v>0</v>
      </c>
      <c r="H88">
        <v>1000000000</v>
      </c>
      <c r="I88">
        <v>100</v>
      </c>
      <c r="J88">
        <v>72</v>
      </c>
      <c r="K88">
        <v>24.666666666699999</v>
      </c>
      <c r="L88">
        <v>96.308030055299994</v>
      </c>
      <c r="M88">
        <v>98.808277747800005</v>
      </c>
      <c r="N88">
        <v>97.854166868299998</v>
      </c>
      <c r="O88">
        <v>96.727398605900007</v>
      </c>
      <c r="P88">
        <v>98.5080674007</v>
      </c>
      <c r="Q88">
        <v>98.402001002099993</v>
      </c>
      <c r="R88">
        <v>96.509331265</v>
      </c>
      <c r="S88">
        <v>97.267454968500004</v>
      </c>
      <c r="T88">
        <v>99.235801494200004</v>
      </c>
      <c r="U88">
        <v>96.121608896799998</v>
      </c>
      <c r="V88">
        <v>97.855438093100005</v>
      </c>
      <c r="W88">
        <v>96.837780864500004</v>
      </c>
      <c r="X88">
        <v>97.200559364599997</v>
      </c>
      <c r="Y88">
        <v>96.951499936700003</v>
      </c>
      <c r="Z88">
        <v>97.479696659599995</v>
      </c>
      <c r="AA88">
        <v>98.537696431300006</v>
      </c>
      <c r="AB88">
        <v>95.472776444800004</v>
      </c>
      <c r="AC88">
        <v>97.141330635000003</v>
      </c>
      <c r="AD88">
        <v>97.127060215499995</v>
      </c>
      <c r="AE88">
        <v>98.380341253300003</v>
      </c>
      <c r="AF88">
        <f t="shared" si="2"/>
        <v>97.43631591015</v>
      </c>
      <c r="AG88">
        <f t="shared" si="3"/>
        <v>0.96790677561555694</v>
      </c>
    </row>
    <row r="89" spans="1:33" ht="15" hidden="1" customHeight="1" x14ac:dyDescent="0.35">
      <c r="A89">
        <v>100</v>
      </c>
      <c r="B89">
        <v>20</v>
      </c>
      <c r="C89">
        <v>12</v>
      </c>
      <c r="D89">
        <v>2</v>
      </c>
      <c r="E89">
        <v>2</v>
      </c>
      <c r="F89">
        <v>0</v>
      </c>
      <c r="G89">
        <v>0</v>
      </c>
      <c r="H89">
        <v>1000000000</v>
      </c>
      <c r="I89">
        <v>100</v>
      </c>
      <c r="J89">
        <v>76</v>
      </c>
      <c r="K89">
        <v>24.666666666699999</v>
      </c>
      <c r="L89">
        <v>98.807766354999998</v>
      </c>
      <c r="M89">
        <v>99.259722850000003</v>
      </c>
      <c r="N89">
        <v>97.834591899599999</v>
      </c>
      <c r="O89">
        <v>99.630654910700002</v>
      </c>
      <c r="P89">
        <v>99.420341640000004</v>
      </c>
      <c r="Q89">
        <v>98.646439763499998</v>
      </c>
      <c r="R89">
        <v>98.522850438800006</v>
      </c>
      <c r="S89">
        <v>99.555807545899995</v>
      </c>
      <c r="T89">
        <v>99.244648728800001</v>
      </c>
      <c r="U89">
        <v>98.595244224699996</v>
      </c>
      <c r="V89">
        <v>99.661521811399993</v>
      </c>
      <c r="W89">
        <v>98.928850551899998</v>
      </c>
      <c r="X89">
        <v>98.9511694869</v>
      </c>
      <c r="Y89">
        <v>98.829881704900004</v>
      </c>
      <c r="Z89">
        <v>99.556831703200004</v>
      </c>
      <c r="AA89">
        <v>99.484003362500005</v>
      </c>
      <c r="AB89">
        <v>98.319553845900003</v>
      </c>
      <c r="AC89">
        <v>98.6734536182</v>
      </c>
      <c r="AD89">
        <v>99.726440524799997</v>
      </c>
      <c r="AE89">
        <v>99.444130598200005</v>
      </c>
      <c r="AF89">
        <f t="shared" si="2"/>
        <v>99.054695278244992</v>
      </c>
      <c r="AG89">
        <f t="shared" si="3"/>
        <v>0.50869302939573968</v>
      </c>
    </row>
    <row r="90" spans="1:33" ht="15" hidden="1" customHeight="1" x14ac:dyDescent="0.35">
      <c r="A90">
        <v>100</v>
      </c>
      <c r="B90">
        <v>20</v>
      </c>
      <c r="C90">
        <v>12</v>
      </c>
      <c r="D90">
        <v>2</v>
      </c>
      <c r="E90">
        <v>2</v>
      </c>
      <c r="F90">
        <v>0</v>
      </c>
      <c r="G90">
        <v>0</v>
      </c>
      <c r="H90">
        <v>1000000000</v>
      </c>
      <c r="I90">
        <v>100</v>
      </c>
      <c r="J90">
        <v>80</v>
      </c>
      <c r="K90">
        <v>24.666666666699999</v>
      </c>
      <c r="L90">
        <v>99.863849664300005</v>
      </c>
      <c r="M90">
        <v>99.938350010600004</v>
      </c>
      <c r="N90">
        <v>99.796394134600007</v>
      </c>
      <c r="O90">
        <v>97.072322542999999</v>
      </c>
      <c r="P90">
        <v>99.840730980700002</v>
      </c>
      <c r="Q90">
        <v>99.617832253499998</v>
      </c>
      <c r="R90">
        <v>99.448334946700001</v>
      </c>
      <c r="S90">
        <v>99.721728763499996</v>
      </c>
      <c r="T90">
        <v>98.829827433600002</v>
      </c>
      <c r="U90">
        <v>99.718018001800004</v>
      </c>
      <c r="V90">
        <v>98.582913000299996</v>
      </c>
      <c r="W90">
        <v>99.6382185935</v>
      </c>
      <c r="X90">
        <v>99.6705355725</v>
      </c>
      <c r="Y90">
        <v>98.726191063300007</v>
      </c>
      <c r="Z90">
        <v>99.065717995200004</v>
      </c>
      <c r="AA90">
        <v>99.803152615900004</v>
      </c>
      <c r="AB90">
        <v>99.274660137799998</v>
      </c>
      <c r="AC90">
        <v>99.860515930700004</v>
      </c>
      <c r="AD90">
        <v>97.946708037099995</v>
      </c>
      <c r="AE90">
        <v>99.885935362799998</v>
      </c>
      <c r="AF90">
        <f t="shared" si="2"/>
        <v>99.315096852070013</v>
      </c>
      <c r="AG90">
        <f t="shared" si="3"/>
        <v>0.73524244328613442</v>
      </c>
    </row>
    <row r="91" spans="1:33" ht="15" hidden="1" customHeight="1" x14ac:dyDescent="0.35">
      <c r="A91">
        <v>100</v>
      </c>
      <c r="B91">
        <v>20</v>
      </c>
      <c r="C91">
        <v>6</v>
      </c>
      <c r="D91">
        <v>2</v>
      </c>
      <c r="E91">
        <v>2</v>
      </c>
      <c r="F91">
        <v>1</v>
      </c>
      <c r="G91">
        <v>0</v>
      </c>
      <c r="H91">
        <v>1000000000</v>
      </c>
      <c r="I91">
        <v>100</v>
      </c>
      <c r="J91">
        <v>72</v>
      </c>
      <c r="K91">
        <v>24.666666666699999</v>
      </c>
      <c r="L91">
        <v>13.632322693100001</v>
      </c>
      <c r="M91">
        <v>17.656186510200001</v>
      </c>
      <c r="N91">
        <v>18.613356133900002</v>
      </c>
      <c r="O91">
        <v>23.1008595612</v>
      </c>
      <c r="P91">
        <v>18.015921961099998</v>
      </c>
      <c r="Q91">
        <v>21.216040160399999</v>
      </c>
      <c r="R91">
        <v>21.978816153099999</v>
      </c>
      <c r="S91">
        <v>17.000217709000001</v>
      </c>
      <c r="T91">
        <v>25.0040175858</v>
      </c>
      <c r="U91">
        <v>23.311171054100001</v>
      </c>
      <c r="V91">
        <v>25.6502672367</v>
      </c>
      <c r="W91">
        <v>17.003644678099999</v>
      </c>
      <c r="X91">
        <v>15.0196713587</v>
      </c>
      <c r="Y91">
        <v>17.191537862299999</v>
      </c>
      <c r="Z91">
        <v>14.2790166126</v>
      </c>
      <c r="AA91">
        <v>24.5677563968</v>
      </c>
      <c r="AB91">
        <v>23.208942476800001</v>
      </c>
      <c r="AC91">
        <v>27.134101784999999</v>
      </c>
      <c r="AD91">
        <v>17.2068853733</v>
      </c>
      <c r="AE91">
        <v>21.636158541499999</v>
      </c>
      <c r="AF91">
        <f t="shared" si="2"/>
        <v>20.121344592184997</v>
      </c>
      <c r="AG91">
        <f t="shared" si="3"/>
        <v>3.9400395991541521</v>
      </c>
    </row>
    <row r="92" spans="1:33" ht="15" hidden="1" customHeight="1" x14ac:dyDescent="0.35">
      <c r="A92">
        <v>100</v>
      </c>
      <c r="B92">
        <v>20</v>
      </c>
      <c r="C92">
        <v>6</v>
      </c>
      <c r="D92">
        <v>2</v>
      </c>
      <c r="E92">
        <v>2</v>
      </c>
      <c r="F92">
        <v>1</v>
      </c>
      <c r="G92">
        <v>0</v>
      </c>
      <c r="H92">
        <v>1000000000</v>
      </c>
      <c r="I92">
        <v>100</v>
      </c>
      <c r="J92">
        <v>76</v>
      </c>
      <c r="K92">
        <v>24.666666666699999</v>
      </c>
      <c r="L92">
        <v>25.466056025699999</v>
      </c>
      <c r="M92">
        <v>29.794086768300001</v>
      </c>
      <c r="N92">
        <v>20.114433330299999</v>
      </c>
      <c r="O92">
        <v>28.584859188500001</v>
      </c>
      <c r="P92">
        <v>31.1679389554</v>
      </c>
      <c r="Q92">
        <v>26.042499208100001</v>
      </c>
      <c r="R92">
        <v>28.797722306099999</v>
      </c>
      <c r="S92">
        <v>22.335626953199998</v>
      </c>
      <c r="T92">
        <v>26.645963110499999</v>
      </c>
      <c r="U92">
        <v>29.912723699899999</v>
      </c>
      <c r="V92">
        <v>31.2872231164</v>
      </c>
      <c r="W92">
        <v>24.7223829673</v>
      </c>
      <c r="X92">
        <v>30.109649254299999</v>
      </c>
      <c r="Y92">
        <v>34.558037718999998</v>
      </c>
      <c r="Z92">
        <v>27.995525654200001</v>
      </c>
      <c r="AA92">
        <v>29.793063109999999</v>
      </c>
      <c r="AB92">
        <v>31.104622831299999</v>
      </c>
      <c r="AC92">
        <v>25.363680602999999</v>
      </c>
      <c r="AD92">
        <v>27.603320957499999</v>
      </c>
      <c r="AE92">
        <v>31.148974576400001</v>
      </c>
      <c r="AF92">
        <f t="shared" si="2"/>
        <v>28.127419516769997</v>
      </c>
      <c r="AG92">
        <f t="shared" si="3"/>
        <v>3.3376984983726938</v>
      </c>
    </row>
    <row r="93" spans="1:33" ht="15" hidden="1" customHeight="1" x14ac:dyDescent="0.35">
      <c r="A93">
        <v>100</v>
      </c>
      <c r="B93">
        <v>20</v>
      </c>
      <c r="C93">
        <v>6</v>
      </c>
      <c r="D93">
        <v>2</v>
      </c>
      <c r="E93">
        <v>2</v>
      </c>
      <c r="F93">
        <v>1</v>
      </c>
      <c r="G93">
        <v>0</v>
      </c>
      <c r="H93">
        <v>1000000000</v>
      </c>
      <c r="I93">
        <v>100</v>
      </c>
      <c r="J93">
        <v>80</v>
      </c>
      <c r="K93">
        <v>24.666666666699999</v>
      </c>
      <c r="L93">
        <v>35.214659307300003</v>
      </c>
      <c r="M93">
        <v>37.217316907399997</v>
      </c>
      <c r="N93">
        <v>39.584275262399998</v>
      </c>
      <c r="O93">
        <v>33.679591203000001</v>
      </c>
      <c r="P93">
        <v>30.1749580466</v>
      </c>
      <c r="Q93">
        <v>37.916203821400003</v>
      </c>
      <c r="R93">
        <v>42.747404000899998</v>
      </c>
      <c r="S93">
        <v>40.172268193699999</v>
      </c>
      <c r="T93">
        <v>41.397511020400003</v>
      </c>
      <c r="U93">
        <v>40.108171993900001</v>
      </c>
      <c r="V93">
        <v>43.138920298000002</v>
      </c>
      <c r="W93">
        <v>40.404837215699999</v>
      </c>
      <c r="X93">
        <v>39.259827194800003</v>
      </c>
      <c r="Y93">
        <v>41.0890313568</v>
      </c>
      <c r="Z93">
        <v>39.837047417100003</v>
      </c>
      <c r="AA93">
        <v>29.919620523599999</v>
      </c>
      <c r="AB93">
        <v>36.282850923700003</v>
      </c>
      <c r="AC93">
        <v>37.047943589600003</v>
      </c>
      <c r="AD93">
        <v>34.339093829699998</v>
      </c>
      <c r="AE93">
        <v>31.999144345600001</v>
      </c>
      <c r="AF93">
        <f t="shared" si="2"/>
        <v>37.576533822580004</v>
      </c>
      <c r="AG93">
        <f t="shared" si="3"/>
        <v>3.8451156360929581</v>
      </c>
    </row>
    <row r="94" spans="1:33" ht="15" hidden="1" customHeight="1" x14ac:dyDescent="0.35">
      <c r="A94">
        <v>100</v>
      </c>
      <c r="B94">
        <v>20</v>
      </c>
      <c r="C94">
        <v>8</v>
      </c>
      <c r="D94">
        <v>2</v>
      </c>
      <c r="E94">
        <v>2</v>
      </c>
      <c r="F94">
        <v>1</v>
      </c>
      <c r="G94">
        <v>0</v>
      </c>
      <c r="H94">
        <v>1000000000</v>
      </c>
      <c r="I94">
        <v>100</v>
      </c>
      <c r="J94">
        <v>72</v>
      </c>
      <c r="K94">
        <v>24.666666666699999</v>
      </c>
      <c r="L94">
        <v>63.349971402400001</v>
      </c>
      <c r="M94">
        <v>54.525081901999997</v>
      </c>
      <c r="N94">
        <v>58.465502241999999</v>
      </c>
      <c r="O94">
        <v>58.214732318599999</v>
      </c>
      <c r="P94">
        <v>48.420689295700001</v>
      </c>
      <c r="Q94">
        <v>55.864726665699997</v>
      </c>
      <c r="R94">
        <v>52.172958257799998</v>
      </c>
      <c r="S94">
        <v>46.784737758600002</v>
      </c>
      <c r="T94">
        <v>57.692869896399998</v>
      </c>
      <c r="U94">
        <v>59.110284458800002</v>
      </c>
      <c r="V94">
        <v>58.018274697599999</v>
      </c>
      <c r="W94">
        <v>51.799307480700001</v>
      </c>
      <c r="X94">
        <v>53.487166731099997</v>
      </c>
      <c r="Y94">
        <v>50.873298042000002</v>
      </c>
      <c r="Z94">
        <v>56.055453924299997</v>
      </c>
      <c r="AA94">
        <v>55.496621997600002</v>
      </c>
      <c r="AB94">
        <v>56.582290976300001</v>
      </c>
      <c r="AC94">
        <v>57.581922244399998</v>
      </c>
      <c r="AD94">
        <v>58.747279474599999</v>
      </c>
      <c r="AE94">
        <v>51.372512863600001</v>
      </c>
      <c r="AF94">
        <f t="shared" si="2"/>
        <v>55.230784131509992</v>
      </c>
      <c r="AG94">
        <f t="shared" si="3"/>
        <v>3.9452149380267114</v>
      </c>
    </row>
    <row r="95" spans="1:33" ht="15" customHeight="1" x14ac:dyDescent="0.35">
      <c r="A95">
        <v>100</v>
      </c>
      <c r="B95">
        <v>20</v>
      </c>
      <c r="C95">
        <v>8</v>
      </c>
      <c r="D95">
        <v>2</v>
      </c>
      <c r="E95">
        <v>2</v>
      </c>
      <c r="F95">
        <v>1</v>
      </c>
      <c r="G95">
        <v>0</v>
      </c>
      <c r="H95">
        <v>1000000000</v>
      </c>
      <c r="I95">
        <v>100</v>
      </c>
      <c r="J95">
        <v>76</v>
      </c>
      <c r="K95">
        <v>24.666666666699999</v>
      </c>
      <c r="L95">
        <v>66.164403873200001</v>
      </c>
      <c r="M95">
        <v>64.255859675099998</v>
      </c>
      <c r="N95">
        <v>66.1100945118</v>
      </c>
      <c r="O95">
        <v>69.808911399500005</v>
      </c>
      <c r="P95">
        <v>60.899643639499999</v>
      </c>
      <c r="Q95">
        <v>63.374155322199996</v>
      </c>
      <c r="R95">
        <v>67.656128957600004</v>
      </c>
      <c r="S95">
        <v>70.533199526999994</v>
      </c>
      <c r="T95">
        <v>63.701881468899998</v>
      </c>
      <c r="U95">
        <v>62.205665142699999</v>
      </c>
      <c r="V95">
        <v>69.133038173599999</v>
      </c>
      <c r="W95">
        <v>66.156435653700001</v>
      </c>
      <c r="X95">
        <v>60.648012018800003</v>
      </c>
      <c r="Y95">
        <v>66.869667359600001</v>
      </c>
      <c r="Z95">
        <v>64.708550540100006</v>
      </c>
      <c r="AA95">
        <v>61.974263981199996</v>
      </c>
      <c r="AB95">
        <v>58.004174193399997</v>
      </c>
      <c r="AC95">
        <v>66.789624778999993</v>
      </c>
      <c r="AD95">
        <v>63.653748219000001</v>
      </c>
      <c r="AE95">
        <v>67.794710561499997</v>
      </c>
      <c r="AF95">
        <f t="shared" si="2"/>
        <v>65.022108449870004</v>
      </c>
      <c r="AG95">
        <f t="shared" si="3"/>
        <v>3.1995369637209947</v>
      </c>
    </row>
    <row r="96" spans="1:33" ht="15" hidden="1" customHeight="1" x14ac:dyDescent="0.35">
      <c r="A96">
        <v>100</v>
      </c>
      <c r="B96">
        <v>20</v>
      </c>
      <c r="C96">
        <v>8</v>
      </c>
      <c r="D96">
        <v>2</v>
      </c>
      <c r="E96">
        <v>2</v>
      </c>
      <c r="F96">
        <v>1</v>
      </c>
      <c r="G96">
        <v>0</v>
      </c>
      <c r="H96">
        <v>1000000000</v>
      </c>
      <c r="I96">
        <v>100</v>
      </c>
      <c r="J96">
        <v>80</v>
      </c>
      <c r="K96">
        <v>24.666666666699999</v>
      </c>
      <c r="L96">
        <v>68.550753266900003</v>
      </c>
      <c r="M96">
        <v>73.419382080299997</v>
      </c>
      <c r="N96">
        <v>75.009354722799998</v>
      </c>
      <c r="O96">
        <v>73.199072571100004</v>
      </c>
      <c r="P96">
        <v>74.012628729400006</v>
      </c>
      <c r="Q96">
        <v>70.3452119106</v>
      </c>
      <c r="R96">
        <v>68.406159104799997</v>
      </c>
      <c r="S96">
        <v>73.055254626999997</v>
      </c>
      <c r="T96">
        <v>66.8937957893</v>
      </c>
      <c r="U96">
        <v>73.518399587000005</v>
      </c>
      <c r="V96">
        <v>69.423781947500004</v>
      </c>
      <c r="W96">
        <v>74.972033546999995</v>
      </c>
      <c r="X96">
        <v>71.578757655499999</v>
      </c>
      <c r="Y96">
        <v>71.088824641499997</v>
      </c>
      <c r="Z96">
        <v>71.753301237599999</v>
      </c>
      <c r="AA96">
        <v>71.917309286700004</v>
      </c>
      <c r="AB96">
        <v>67.925122487699994</v>
      </c>
      <c r="AC96">
        <v>79.054534379000003</v>
      </c>
      <c r="AD96">
        <v>80.964202721000007</v>
      </c>
      <c r="AE96">
        <v>79.700389873600002</v>
      </c>
      <c r="AF96">
        <f t="shared" si="2"/>
        <v>72.739413508314996</v>
      </c>
      <c r="AG96">
        <f t="shared" si="3"/>
        <v>3.7764910125590285</v>
      </c>
    </row>
    <row r="97" spans="1:33" hidden="1" x14ac:dyDescent="0.35">
      <c r="A97">
        <v>100</v>
      </c>
      <c r="B97">
        <v>20</v>
      </c>
      <c r="C97">
        <v>10</v>
      </c>
      <c r="D97">
        <v>2</v>
      </c>
      <c r="E97">
        <v>2</v>
      </c>
      <c r="F97">
        <v>1</v>
      </c>
      <c r="G97">
        <v>0</v>
      </c>
      <c r="H97">
        <v>1000000000</v>
      </c>
      <c r="I97">
        <v>100</v>
      </c>
      <c r="J97">
        <v>72</v>
      </c>
      <c r="K97">
        <v>24.666666666699999</v>
      </c>
      <c r="L97">
        <v>86.761713236999995</v>
      </c>
      <c r="M97">
        <v>80.267814659099997</v>
      </c>
      <c r="N97">
        <v>88.616335766099994</v>
      </c>
      <c r="O97">
        <v>88.919783543299999</v>
      </c>
      <c r="P97">
        <v>87.002357103600005</v>
      </c>
      <c r="Q97">
        <v>89.033494163900002</v>
      </c>
      <c r="R97">
        <v>86.705189270399998</v>
      </c>
      <c r="S97">
        <v>84.6536539616</v>
      </c>
      <c r="T97">
        <v>82.407714205100007</v>
      </c>
      <c r="U97">
        <v>90.217211686200002</v>
      </c>
      <c r="V97">
        <v>84.781612337799999</v>
      </c>
      <c r="W97">
        <v>85.885638773099998</v>
      </c>
      <c r="X97">
        <v>86.149947393000005</v>
      </c>
      <c r="Y97">
        <v>86.0804361661</v>
      </c>
      <c r="Z97">
        <v>85.146952329300007</v>
      </c>
      <c r="AA97">
        <v>82.583492706599998</v>
      </c>
      <c r="AB97">
        <v>81.591552472100005</v>
      </c>
      <c r="AC97">
        <v>86.023158586199997</v>
      </c>
      <c r="AD97">
        <v>84.220702795500003</v>
      </c>
      <c r="AE97">
        <v>89.920520607699999</v>
      </c>
      <c r="AF97">
        <f t="shared" si="2"/>
        <v>85.848464088185011</v>
      </c>
      <c r="AG97">
        <f t="shared" si="3"/>
        <v>2.6781842699348091</v>
      </c>
    </row>
    <row r="98" spans="1:33" hidden="1" x14ac:dyDescent="0.35">
      <c r="A98">
        <v>100</v>
      </c>
      <c r="B98">
        <v>20</v>
      </c>
      <c r="C98">
        <v>10</v>
      </c>
      <c r="D98">
        <v>2</v>
      </c>
      <c r="E98">
        <v>2</v>
      </c>
      <c r="F98">
        <v>1</v>
      </c>
      <c r="G98">
        <v>0</v>
      </c>
      <c r="H98">
        <v>1000000000</v>
      </c>
      <c r="I98">
        <v>100</v>
      </c>
      <c r="J98">
        <v>76</v>
      </c>
      <c r="K98">
        <v>24.666666666699999</v>
      </c>
      <c r="L98">
        <v>89.852286461800006</v>
      </c>
      <c r="M98">
        <v>92.952514302899999</v>
      </c>
      <c r="N98">
        <v>95.210923004600005</v>
      </c>
      <c r="O98">
        <v>91.026088174999998</v>
      </c>
      <c r="P98">
        <v>91.655599328600005</v>
      </c>
      <c r="Q98">
        <v>90.0897802609</v>
      </c>
      <c r="R98">
        <v>90.837594676600006</v>
      </c>
      <c r="S98">
        <v>93.5515357349</v>
      </c>
      <c r="T98">
        <v>93.686535049699998</v>
      </c>
      <c r="U98">
        <v>92.986119910499994</v>
      </c>
      <c r="V98">
        <v>91.414653774200005</v>
      </c>
      <c r="W98">
        <v>92.577354427200007</v>
      </c>
      <c r="X98">
        <v>91.704516809500007</v>
      </c>
      <c r="Y98">
        <v>90.948760608900002</v>
      </c>
      <c r="Z98">
        <v>91.653526923800001</v>
      </c>
      <c r="AA98">
        <v>90.708479707099997</v>
      </c>
      <c r="AB98">
        <v>86.507950215099996</v>
      </c>
      <c r="AC98">
        <v>87.753515068599995</v>
      </c>
      <c r="AD98">
        <v>87.303228247000007</v>
      </c>
      <c r="AE98">
        <v>93.516583491800006</v>
      </c>
      <c r="AF98">
        <f t="shared" si="2"/>
        <v>91.296877308935024</v>
      </c>
      <c r="AG98">
        <f t="shared" si="3"/>
        <v>2.1730747515855873</v>
      </c>
    </row>
    <row r="99" spans="1:33" hidden="1" x14ac:dyDescent="0.35">
      <c r="A99">
        <v>100</v>
      </c>
      <c r="B99">
        <v>20</v>
      </c>
      <c r="C99">
        <v>10</v>
      </c>
      <c r="D99">
        <v>2</v>
      </c>
      <c r="E99">
        <v>2</v>
      </c>
      <c r="F99">
        <v>1</v>
      </c>
      <c r="G99">
        <v>0</v>
      </c>
      <c r="H99">
        <v>1000000000</v>
      </c>
      <c r="I99">
        <v>100</v>
      </c>
      <c r="J99">
        <v>80</v>
      </c>
      <c r="K99">
        <v>24.666666666699999</v>
      </c>
      <c r="L99">
        <v>95.514077940000007</v>
      </c>
      <c r="M99">
        <v>92.836149411600005</v>
      </c>
      <c r="N99">
        <v>94.881241051200007</v>
      </c>
      <c r="O99">
        <v>92.588645159199999</v>
      </c>
      <c r="P99">
        <v>94.056223301800003</v>
      </c>
      <c r="Q99">
        <v>93.987675225000004</v>
      </c>
      <c r="R99">
        <v>93.660852057400007</v>
      </c>
      <c r="S99">
        <v>93.613533814099995</v>
      </c>
      <c r="T99">
        <v>91.999180014800004</v>
      </c>
      <c r="U99">
        <v>92.241650862300006</v>
      </c>
      <c r="V99">
        <v>96.167447352699995</v>
      </c>
      <c r="W99">
        <v>92.514990254899999</v>
      </c>
      <c r="X99">
        <v>94.499054074399993</v>
      </c>
      <c r="Y99">
        <v>93.451708341300005</v>
      </c>
      <c r="Z99">
        <v>96.335090736400005</v>
      </c>
      <c r="AA99">
        <v>91.605994298799999</v>
      </c>
      <c r="AB99">
        <v>91.190605667900002</v>
      </c>
      <c r="AC99">
        <v>92.958951144699995</v>
      </c>
      <c r="AD99">
        <v>91.694264436500006</v>
      </c>
      <c r="AE99">
        <v>95.429579897400004</v>
      </c>
      <c r="AF99">
        <f t="shared" si="2"/>
        <v>93.561345752119976</v>
      </c>
      <c r="AG99">
        <f t="shared" si="3"/>
        <v>1.4983852529864037</v>
      </c>
    </row>
    <row r="100" spans="1:33" ht="15" hidden="1" customHeight="1" x14ac:dyDescent="0.35">
      <c r="A100">
        <v>100</v>
      </c>
      <c r="B100">
        <v>20</v>
      </c>
      <c r="C100">
        <v>12</v>
      </c>
      <c r="D100">
        <v>2</v>
      </c>
      <c r="E100">
        <v>2</v>
      </c>
      <c r="F100">
        <v>1</v>
      </c>
      <c r="G100">
        <v>0</v>
      </c>
      <c r="H100">
        <v>1000000000</v>
      </c>
      <c r="I100">
        <v>100</v>
      </c>
      <c r="J100">
        <v>72</v>
      </c>
      <c r="K100">
        <v>24.666666666699999</v>
      </c>
      <c r="L100">
        <v>98.695708720900001</v>
      </c>
      <c r="M100">
        <v>99.034198783899996</v>
      </c>
      <c r="N100">
        <v>97.054015359000005</v>
      </c>
      <c r="O100">
        <v>99.403646112399997</v>
      </c>
      <c r="P100">
        <v>96.033356029700002</v>
      </c>
      <c r="Q100">
        <v>99.081910346800001</v>
      </c>
      <c r="R100">
        <v>98.196979460600005</v>
      </c>
      <c r="S100">
        <v>96.908496050400004</v>
      </c>
      <c r="T100">
        <v>97.477395341700003</v>
      </c>
      <c r="U100">
        <v>98.390557959000006</v>
      </c>
      <c r="V100">
        <v>97.002018362800001</v>
      </c>
      <c r="W100">
        <v>97.610522957399994</v>
      </c>
      <c r="X100">
        <v>98.267114081499997</v>
      </c>
      <c r="Y100">
        <v>97.856638853999996</v>
      </c>
      <c r="Z100">
        <v>98.348380558299993</v>
      </c>
      <c r="AA100">
        <v>99.054753769900003</v>
      </c>
      <c r="AB100">
        <v>98.957180836199996</v>
      </c>
      <c r="AC100">
        <v>97.8558610324</v>
      </c>
      <c r="AD100">
        <v>98.368619452000004</v>
      </c>
      <c r="AE100">
        <v>98.335632243099994</v>
      </c>
      <c r="AF100">
        <f t="shared" si="2"/>
        <v>98.096649315600004</v>
      </c>
      <c r="AG100">
        <f t="shared" si="3"/>
        <v>0.853957077947893</v>
      </c>
    </row>
    <row r="101" spans="1:33" ht="15" hidden="1" customHeight="1" x14ac:dyDescent="0.35">
      <c r="A101">
        <v>100</v>
      </c>
      <c r="B101">
        <v>20</v>
      </c>
      <c r="C101">
        <v>12</v>
      </c>
      <c r="D101">
        <v>2</v>
      </c>
      <c r="E101">
        <v>2</v>
      </c>
      <c r="F101">
        <v>1</v>
      </c>
      <c r="G101">
        <v>0</v>
      </c>
      <c r="H101">
        <v>1000000000</v>
      </c>
      <c r="I101">
        <v>100</v>
      </c>
      <c r="J101">
        <v>76</v>
      </c>
      <c r="K101">
        <v>24.666666666699999</v>
      </c>
      <c r="L101">
        <v>98.751360407899995</v>
      </c>
      <c r="M101">
        <v>97.597561478700001</v>
      </c>
      <c r="N101">
        <v>98.883346116599995</v>
      </c>
      <c r="O101">
        <v>97.580468592100004</v>
      </c>
      <c r="P101">
        <v>98.966890849899997</v>
      </c>
      <c r="Q101">
        <v>99.617147167200002</v>
      </c>
      <c r="R101">
        <v>98.142795139200004</v>
      </c>
      <c r="S101">
        <v>99.301528849199997</v>
      </c>
      <c r="T101">
        <v>99.446401939300003</v>
      </c>
      <c r="U101">
        <v>99.623724783900002</v>
      </c>
      <c r="V101">
        <v>99.609248315299993</v>
      </c>
      <c r="W101">
        <v>99.784074782900007</v>
      </c>
      <c r="X101">
        <v>99.375928822800006</v>
      </c>
      <c r="Y101">
        <v>99.711920379999995</v>
      </c>
      <c r="Z101">
        <v>98.431298560800002</v>
      </c>
      <c r="AA101">
        <v>98.290220436699997</v>
      </c>
      <c r="AB101">
        <v>99.599356480300003</v>
      </c>
      <c r="AC101">
        <v>97.843096670099996</v>
      </c>
      <c r="AD101">
        <v>98.381014485899996</v>
      </c>
      <c r="AE101">
        <v>98.1543399583</v>
      </c>
      <c r="AF101">
        <f t="shared" si="2"/>
        <v>98.854586210855018</v>
      </c>
      <c r="AG101">
        <f t="shared" si="3"/>
        <v>0.73101570684100114</v>
      </c>
    </row>
    <row r="102" spans="1:33" ht="15" hidden="1" customHeight="1" x14ac:dyDescent="0.35">
      <c r="A102">
        <v>100</v>
      </c>
      <c r="B102">
        <v>20</v>
      </c>
      <c r="C102">
        <v>12</v>
      </c>
      <c r="D102">
        <v>2</v>
      </c>
      <c r="E102">
        <v>2</v>
      </c>
      <c r="F102">
        <v>1</v>
      </c>
      <c r="G102">
        <v>0</v>
      </c>
      <c r="H102">
        <v>1000000000</v>
      </c>
      <c r="I102">
        <v>100</v>
      </c>
      <c r="J102">
        <v>80</v>
      </c>
      <c r="K102">
        <v>24.666666666699999</v>
      </c>
      <c r="L102">
        <v>99.873580352600001</v>
      </c>
      <c r="M102">
        <v>99.924636944100001</v>
      </c>
      <c r="N102">
        <v>99.182900526400005</v>
      </c>
      <c r="O102">
        <v>99.814830950399994</v>
      </c>
      <c r="P102">
        <v>99.837803252399993</v>
      </c>
      <c r="Q102">
        <v>99.2843569729</v>
      </c>
      <c r="R102">
        <v>99.904057029900002</v>
      </c>
      <c r="S102">
        <v>99.860362762199998</v>
      </c>
      <c r="T102">
        <v>99.948278976500006</v>
      </c>
      <c r="U102">
        <v>99.9347482724</v>
      </c>
      <c r="V102">
        <v>99.077444915800001</v>
      </c>
      <c r="W102">
        <v>99.792863751100001</v>
      </c>
      <c r="X102">
        <v>99.788776009200006</v>
      </c>
      <c r="Y102">
        <v>99.972239729600005</v>
      </c>
      <c r="Z102">
        <v>99.551939382800001</v>
      </c>
      <c r="AA102">
        <v>99.796517986500007</v>
      </c>
      <c r="AB102">
        <v>99.202102012200001</v>
      </c>
      <c r="AC102">
        <v>98.883634020499997</v>
      </c>
      <c r="AD102">
        <v>98.8000032307</v>
      </c>
      <c r="AE102">
        <v>99.891264019800005</v>
      </c>
      <c r="AF102">
        <f t="shared" si="2"/>
        <v>99.616117054900002</v>
      </c>
      <c r="AG102">
        <f t="shared" si="3"/>
        <v>0.37859346571773395</v>
      </c>
    </row>
    <row r="103" spans="1:33" ht="15" hidden="1" customHeight="1" x14ac:dyDescent="0.35">
      <c r="A103">
        <v>100</v>
      </c>
      <c r="B103">
        <v>20</v>
      </c>
      <c r="C103">
        <v>6</v>
      </c>
      <c r="D103">
        <v>2</v>
      </c>
      <c r="E103">
        <v>2</v>
      </c>
      <c r="F103">
        <v>2</v>
      </c>
      <c r="G103">
        <v>0</v>
      </c>
      <c r="H103">
        <v>1000000000</v>
      </c>
      <c r="I103">
        <v>100</v>
      </c>
      <c r="J103">
        <v>72</v>
      </c>
      <c r="K103">
        <v>24.666666666699999</v>
      </c>
      <c r="L103">
        <v>21.186135855700002</v>
      </c>
      <c r="M103">
        <v>30.0969602031</v>
      </c>
      <c r="N103">
        <v>20.910455820100001</v>
      </c>
      <c r="O103">
        <v>25.505833767999999</v>
      </c>
      <c r="P103">
        <v>22.2682787701</v>
      </c>
      <c r="Q103">
        <v>18.5139925758</v>
      </c>
      <c r="R103">
        <v>28.919203297999999</v>
      </c>
      <c r="S103">
        <v>16.303730508200001</v>
      </c>
      <c r="T103">
        <v>20.368506856300002</v>
      </c>
      <c r="U103">
        <v>20.329477122899998</v>
      </c>
      <c r="V103">
        <v>23.935530346</v>
      </c>
      <c r="W103">
        <v>26.0768337043</v>
      </c>
      <c r="X103">
        <v>22.5874119482</v>
      </c>
      <c r="Y103">
        <v>21.653774986999998</v>
      </c>
      <c r="Z103">
        <v>21.519807900499998</v>
      </c>
      <c r="AA103">
        <v>15.0165497624</v>
      </c>
      <c r="AB103">
        <v>17.229345061</v>
      </c>
      <c r="AC103">
        <v>20.347263715299999</v>
      </c>
      <c r="AD103">
        <v>18.247733825899999</v>
      </c>
      <c r="AE103">
        <v>22.194219167300002</v>
      </c>
      <c r="AF103">
        <f t="shared" si="2"/>
        <v>21.660552259805002</v>
      </c>
      <c r="AG103">
        <f t="shared" si="3"/>
        <v>3.7738240848260651</v>
      </c>
    </row>
    <row r="104" spans="1:33" ht="15" hidden="1" customHeight="1" x14ac:dyDescent="0.35">
      <c r="A104">
        <v>100</v>
      </c>
      <c r="B104">
        <v>20</v>
      </c>
      <c r="C104">
        <v>6</v>
      </c>
      <c r="D104">
        <v>2</v>
      </c>
      <c r="E104">
        <v>2</v>
      </c>
      <c r="F104">
        <v>2</v>
      </c>
      <c r="G104">
        <v>0</v>
      </c>
      <c r="H104">
        <v>1000000000</v>
      </c>
      <c r="I104">
        <v>100</v>
      </c>
      <c r="J104">
        <v>76</v>
      </c>
      <c r="K104">
        <v>24.666666666699999</v>
      </c>
      <c r="L104">
        <v>33.9191378505</v>
      </c>
      <c r="M104">
        <v>32.492259851199996</v>
      </c>
      <c r="N104">
        <v>32.322066944399999</v>
      </c>
      <c r="O104">
        <v>35.599789852400001</v>
      </c>
      <c r="P104">
        <v>30.8271668402</v>
      </c>
      <c r="Q104">
        <v>26.295489118399999</v>
      </c>
      <c r="R104">
        <v>28.509129556200001</v>
      </c>
      <c r="S104">
        <v>28.3593588974</v>
      </c>
      <c r="T104">
        <v>29.469986537</v>
      </c>
      <c r="U104">
        <v>28.897268746599998</v>
      </c>
      <c r="V104">
        <v>26.7705382131</v>
      </c>
      <c r="W104">
        <v>33.7454672581</v>
      </c>
      <c r="X104">
        <v>29.906014879499999</v>
      </c>
      <c r="Y104">
        <v>34.6921338633</v>
      </c>
      <c r="Z104">
        <v>27.975363117899999</v>
      </c>
      <c r="AA104">
        <v>32.963338557699998</v>
      </c>
      <c r="AB104">
        <v>32.218336872599998</v>
      </c>
      <c r="AC104">
        <v>38.968033860200002</v>
      </c>
      <c r="AD104">
        <v>32.3890303254</v>
      </c>
      <c r="AE104">
        <v>30.926058754900001</v>
      </c>
      <c r="AF104">
        <f t="shared" si="2"/>
        <v>31.362298494850002</v>
      </c>
      <c r="AG104">
        <f t="shared" si="3"/>
        <v>3.1088387272587119</v>
      </c>
    </row>
    <row r="105" spans="1:33" ht="15" hidden="1" customHeight="1" x14ac:dyDescent="0.35">
      <c r="A105">
        <v>100</v>
      </c>
      <c r="B105">
        <v>20</v>
      </c>
      <c r="C105">
        <v>6</v>
      </c>
      <c r="D105">
        <v>2</v>
      </c>
      <c r="E105">
        <v>2</v>
      </c>
      <c r="F105">
        <v>2</v>
      </c>
      <c r="G105">
        <v>0</v>
      </c>
      <c r="H105">
        <v>1000000000</v>
      </c>
      <c r="I105">
        <v>100</v>
      </c>
      <c r="J105">
        <v>80</v>
      </c>
      <c r="K105">
        <v>24.666666666699999</v>
      </c>
      <c r="L105">
        <v>41.985375849</v>
      </c>
      <c r="M105">
        <v>35.097282695600001</v>
      </c>
      <c r="N105">
        <v>39.2209247121</v>
      </c>
      <c r="O105">
        <v>42.880806670699997</v>
      </c>
      <c r="P105">
        <v>39.614728135100002</v>
      </c>
      <c r="Q105">
        <v>36.6823321488</v>
      </c>
      <c r="R105">
        <v>41.915496343199997</v>
      </c>
      <c r="S105">
        <v>34.128887158700003</v>
      </c>
      <c r="T105">
        <v>37.970548373900002</v>
      </c>
      <c r="U105">
        <v>41.190885888300002</v>
      </c>
      <c r="V105">
        <v>43.549810167099999</v>
      </c>
      <c r="W105">
        <v>34.467264112199999</v>
      </c>
      <c r="X105">
        <v>40.6046128391</v>
      </c>
      <c r="Y105">
        <v>34.956879962599999</v>
      </c>
      <c r="Z105">
        <v>31.603758475500001</v>
      </c>
      <c r="AA105">
        <v>36.233976495100002</v>
      </c>
      <c r="AB105">
        <v>35.553042679400001</v>
      </c>
      <c r="AC105">
        <v>36.103246148399997</v>
      </c>
      <c r="AD105">
        <v>35.257143850299997</v>
      </c>
      <c r="AE105">
        <v>31.4725470162</v>
      </c>
      <c r="AF105">
        <f t="shared" si="2"/>
        <v>37.524477486064995</v>
      </c>
      <c r="AG105">
        <f t="shared" si="3"/>
        <v>3.556785442114974</v>
      </c>
    </row>
    <row r="106" spans="1:33" ht="15" hidden="1" customHeight="1" x14ac:dyDescent="0.35">
      <c r="A106">
        <v>100</v>
      </c>
      <c r="B106">
        <v>20</v>
      </c>
      <c r="C106">
        <v>8</v>
      </c>
      <c r="D106">
        <v>2</v>
      </c>
      <c r="E106">
        <v>2</v>
      </c>
      <c r="F106">
        <v>2</v>
      </c>
      <c r="G106">
        <v>0</v>
      </c>
      <c r="H106">
        <v>1000000000</v>
      </c>
      <c r="I106">
        <v>100</v>
      </c>
      <c r="J106">
        <v>72</v>
      </c>
      <c r="K106">
        <v>24.666666666699999</v>
      </c>
      <c r="L106">
        <v>55.887347377799998</v>
      </c>
      <c r="M106">
        <v>58.433480862099998</v>
      </c>
      <c r="N106">
        <v>56.373301010600002</v>
      </c>
      <c r="O106">
        <v>56.585988805600003</v>
      </c>
      <c r="P106">
        <v>60.062740424200001</v>
      </c>
      <c r="Q106">
        <v>57.499664805999998</v>
      </c>
      <c r="R106">
        <v>59.204149851399997</v>
      </c>
      <c r="S106">
        <v>66.241403059000007</v>
      </c>
      <c r="T106">
        <v>58.100880255299998</v>
      </c>
      <c r="U106">
        <v>56.535610988099997</v>
      </c>
      <c r="V106">
        <v>58.803939951099998</v>
      </c>
      <c r="W106">
        <v>68.055217672300003</v>
      </c>
      <c r="X106">
        <v>48.566544532100004</v>
      </c>
      <c r="Y106">
        <v>55.040978528099998</v>
      </c>
      <c r="Z106">
        <v>64.7214344044</v>
      </c>
      <c r="AA106">
        <v>65.914400257300002</v>
      </c>
      <c r="AB106">
        <v>58.835197614599998</v>
      </c>
      <c r="AC106">
        <v>53.913523916400003</v>
      </c>
      <c r="AD106">
        <v>49.007099027599999</v>
      </c>
      <c r="AE106">
        <v>55.883165287600001</v>
      </c>
      <c r="AF106">
        <f t="shared" si="2"/>
        <v>58.183303431580001</v>
      </c>
      <c r="AG106">
        <f t="shared" si="3"/>
        <v>4.9735321981109086</v>
      </c>
    </row>
    <row r="107" spans="1:33" ht="15" customHeight="1" x14ac:dyDescent="0.35">
      <c r="A107">
        <v>100</v>
      </c>
      <c r="B107">
        <v>20</v>
      </c>
      <c r="C107">
        <v>8</v>
      </c>
      <c r="D107">
        <v>2</v>
      </c>
      <c r="E107">
        <v>2</v>
      </c>
      <c r="F107">
        <v>2</v>
      </c>
      <c r="G107">
        <v>0</v>
      </c>
      <c r="H107">
        <v>1000000000</v>
      </c>
      <c r="I107">
        <v>100</v>
      </c>
      <c r="J107">
        <v>76</v>
      </c>
      <c r="K107">
        <v>24.666666666699999</v>
      </c>
      <c r="L107">
        <v>67.303314363699997</v>
      </c>
      <c r="M107">
        <v>60.386138370399998</v>
      </c>
      <c r="N107">
        <v>74.558844304399997</v>
      </c>
      <c r="O107">
        <v>67.775195403300003</v>
      </c>
      <c r="P107">
        <v>69.073663352899999</v>
      </c>
      <c r="Q107">
        <v>73.165677140400007</v>
      </c>
      <c r="R107">
        <v>67.501582041899994</v>
      </c>
      <c r="S107">
        <v>71.376264707900006</v>
      </c>
      <c r="T107">
        <v>72.7108333722</v>
      </c>
      <c r="U107">
        <v>66.650866239500004</v>
      </c>
      <c r="V107">
        <v>69.479907223500007</v>
      </c>
      <c r="W107">
        <v>65.304319793600001</v>
      </c>
      <c r="X107">
        <v>68.455336604300001</v>
      </c>
      <c r="Y107">
        <v>66.084093709000001</v>
      </c>
      <c r="Z107">
        <v>67.484995157599997</v>
      </c>
      <c r="AA107">
        <v>63.198137463499997</v>
      </c>
      <c r="AB107">
        <v>62.210358260699998</v>
      </c>
      <c r="AC107">
        <v>73.620066505500006</v>
      </c>
      <c r="AD107">
        <v>66.138689611800004</v>
      </c>
      <c r="AE107">
        <v>68.565917881299995</v>
      </c>
      <c r="AF107">
        <f t="shared" si="2"/>
        <v>68.052210075370013</v>
      </c>
      <c r="AG107">
        <f t="shared" si="3"/>
        <v>3.6777383369496612</v>
      </c>
    </row>
    <row r="108" spans="1:33" ht="15" hidden="1" customHeight="1" x14ac:dyDescent="0.35">
      <c r="A108">
        <v>100</v>
      </c>
      <c r="B108">
        <v>20</v>
      </c>
      <c r="C108">
        <v>8</v>
      </c>
      <c r="D108">
        <v>2</v>
      </c>
      <c r="E108">
        <v>2</v>
      </c>
      <c r="F108">
        <v>2</v>
      </c>
      <c r="G108">
        <v>0</v>
      </c>
      <c r="H108">
        <v>1000000000</v>
      </c>
      <c r="I108">
        <v>100</v>
      </c>
      <c r="J108">
        <v>80</v>
      </c>
      <c r="K108">
        <v>24.666666666699999</v>
      </c>
      <c r="L108">
        <v>71.440820779500001</v>
      </c>
      <c r="M108">
        <v>75.338492057799996</v>
      </c>
      <c r="N108">
        <v>76.137631940399999</v>
      </c>
      <c r="O108">
        <v>74.139111684900001</v>
      </c>
      <c r="P108">
        <v>70.739240061399997</v>
      </c>
      <c r="Q108">
        <v>74.330851756000001</v>
      </c>
      <c r="R108">
        <v>76.197241899399998</v>
      </c>
      <c r="S108">
        <v>83.482960631899999</v>
      </c>
      <c r="T108">
        <v>77.573168868600007</v>
      </c>
      <c r="U108">
        <v>75.2948250253</v>
      </c>
      <c r="V108">
        <v>70.855080789900001</v>
      </c>
      <c r="W108">
        <v>72.529083413099997</v>
      </c>
      <c r="X108">
        <v>72.321565423300001</v>
      </c>
      <c r="Y108">
        <v>79.620788502799996</v>
      </c>
      <c r="Z108">
        <v>77.278947513199995</v>
      </c>
      <c r="AA108">
        <v>75.055928683299996</v>
      </c>
      <c r="AB108">
        <v>73.636750727899994</v>
      </c>
      <c r="AC108">
        <v>75.783773205700001</v>
      </c>
      <c r="AD108">
        <v>71.266101966600004</v>
      </c>
      <c r="AE108">
        <v>72.639149563900006</v>
      </c>
      <c r="AF108">
        <f t="shared" si="2"/>
        <v>74.78307572474499</v>
      </c>
      <c r="AG108">
        <f t="shared" si="3"/>
        <v>3.0949723739184791</v>
      </c>
    </row>
    <row r="109" spans="1:33" hidden="1" x14ac:dyDescent="0.35">
      <c r="A109">
        <v>100</v>
      </c>
      <c r="B109">
        <v>20</v>
      </c>
      <c r="C109">
        <v>10</v>
      </c>
      <c r="D109">
        <v>2</v>
      </c>
      <c r="E109">
        <v>2</v>
      </c>
      <c r="F109">
        <v>2</v>
      </c>
      <c r="G109">
        <v>0</v>
      </c>
      <c r="H109">
        <v>1000000000</v>
      </c>
      <c r="I109">
        <v>100</v>
      </c>
      <c r="J109">
        <v>72</v>
      </c>
      <c r="K109">
        <v>24.666666666699999</v>
      </c>
      <c r="L109">
        <v>84.418162756300006</v>
      </c>
      <c r="M109">
        <v>86.066632266699997</v>
      </c>
      <c r="N109">
        <v>91.024649129400004</v>
      </c>
      <c r="O109">
        <v>90.369554553100002</v>
      </c>
      <c r="P109">
        <v>82.716011574800007</v>
      </c>
      <c r="Q109">
        <v>88.020260122400003</v>
      </c>
      <c r="R109">
        <v>86.857139786000005</v>
      </c>
      <c r="S109">
        <v>89.7370992699</v>
      </c>
      <c r="T109">
        <v>85.1030651353</v>
      </c>
      <c r="U109">
        <v>89.932671428399999</v>
      </c>
      <c r="V109">
        <v>90.945536038499995</v>
      </c>
      <c r="W109">
        <v>92.169217798700004</v>
      </c>
      <c r="X109">
        <v>88.292177856699993</v>
      </c>
      <c r="Y109">
        <v>84.982566187800003</v>
      </c>
      <c r="Z109">
        <v>83.882765356500002</v>
      </c>
      <c r="AA109">
        <v>89.954906811399994</v>
      </c>
      <c r="AB109">
        <v>81.766386027500005</v>
      </c>
      <c r="AC109">
        <v>92.748457370200001</v>
      </c>
      <c r="AD109">
        <v>84.357662946000005</v>
      </c>
      <c r="AE109">
        <v>85.651434338499996</v>
      </c>
      <c r="AF109">
        <f t="shared" si="2"/>
        <v>87.449817837704984</v>
      </c>
      <c r="AG109">
        <f t="shared" si="3"/>
        <v>3.2082633635067523</v>
      </c>
    </row>
    <row r="110" spans="1:33" hidden="1" x14ac:dyDescent="0.35">
      <c r="A110">
        <v>100</v>
      </c>
      <c r="B110">
        <v>20</v>
      </c>
      <c r="C110">
        <v>10</v>
      </c>
      <c r="D110">
        <v>2</v>
      </c>
      <c r="E110">
        <v>2</v>
      </c>
      <c r="F110">
        <v>2</v>
      </c>
      <c r="G110">
        <v>0</v>
      </c>
      <c r="H110">
        <v>1000000000</v>
      </c>
      <c r="I110">
        <v>100</v>
      </c>
      <c r="J110">
        <v>76</v>
      </c>
      <c r="K110">
        <v>24.666666666699999</v>
      </c>
      <c r="L110">
        <v>90.579034016600005</v>
      </c>
      <c r="M110">
        <v>91.622723547600003</v>
      </c>
      <c r="N110">
        <v>94.392172568700005</v>
      </c>
      <c r="O110">
        <v>93.761009693899993</v>
      </c>
      <c r="P110">
        <v>88.234452318199999</v>
      </c>
      <c r="Q110">
        <v>88.345565654400005</v>
      </c>
      <c r="R110">
        <v>92.224604717999995</v>
      </c>
      <c r="S110">
        <v>91.369297294399999</v>
      </c>
      <c r="T110">
        <v>93.909052447799994</v>
      </c>
      <c r="U110">
        <v>92.911698810499999</v>
      </c>
      <c r="V110">
        <v>92.570144682999995</v>
      </c>
      <c r="W110">
        <v>89.681140052000003</v>
      </c>
      <c r="X110">
        <v>90.865910745899996</v>
      </c>
      <c r="Y110">
        <v>93.717784646499993</v>
      </c>
      <c r="Z110">
        <v>90.286022961</v>
      </c>
      <c r="AA110">
        <v>93.103240444099995</v>
      </c>
      <c r="AB110">
        <v>91.103949313300006</v>
      </c>
      <c r="AC110">
        <v>92.260517710299993</v>
      </c>
      <c r="AD110">
        <v>92.997188065900005</v>
      </c>
      <c r="AE110">
        <v>93.819979362200002</v>
      </c>
      <c r="AF110">
        <f t="shared" si="2"/>
        <v>91.887774452715007</v>
      </c>
      <c r="AG110">
        <f t="shared" si="3"/>
        <v>1.7672414229877167</v>
      </c>
    </row>
    <row r="111" spans="1:33" hidden="1" x14ac:dyDescent="0.35">
      <c r="A111">
        <v>100</v>
      </c>
      <c r="B111">
        <v>20</v>
      </c>
      <c r="C111">
        <v>10</v>
      </c>
      <c r="D111">
        <v>2</v>
      </c>
      <c r="E111">
        <v>2</v>
      </c>
      <c r="F111">
        <v>2</v>
      </c>
      <c r="G111">
        <v>0</v>
      </c>
      <c r="H111">
        <v>1000000000</v>
      </c>
      <c r="I111">
        <v>100</v>
      </c>
      <c r="J111">
        <v>80</v>
      </c>
      <c r="K111">
        <v>24.666666666699999</v>
      </c>
      <c r="L111">
        <v>93.313124638600002</v>
      </c>
      <c r="M111">
        <v>91.756961782000005</v>
      </c>
      <c r="N111">
        <v>95.708964515399998</v>
      </c>
      <c r="O111">
        <v>96.6265504112</v>
      </c>
      <c r="P111">
        <v>93.878553936100005</v>
      </c>
      <c r="Q111">
        <v>95.749362803899999</v>
      </c>
      <c r="R111">
        <v>92.468436815399997</v>
      </c>
      <c r="S111">
        <v>95.301668930899993</v>
      </c>
      <c r="T111">
        <v>95.3596056449</v>
      </c>
      <c r="U111">
        <v>91.712169877500003</v>
      </c>
      <c r="V111">
        <v>94.170194707999997</v>
      </c>
      <c r="W111">
        <v>96.624424270199995</v>
      </c>
      <c r="X111">
        <v>94.692103462600002</v>
      </c>
      <c r="Y111">
        <v>95.017292495000007</v>
      </c>
      <c r="Z111">
        <v>93.433431208100004</v>
      </c>
      <c r="AA111">
        <v>93.054429418200002</v>
      </c>
      <c r="AB111">
        <v>94.333861526299998</v>
      </c>
      <c r="AC111">
        <v>97.640199438400003</v>
      </c>
      <c r="AD111">
        <v>93.529844169399993</v>
      </c>
      <c r="AE111">
        <v>97.589620428299995</v>
      </c>
      <c r="AF111">
        <f t="shared" si="2"/>
        <v>94.598040024019994</v>
      </c>
      <c r="AG111">
        <f t="shared" si="3"/>
        <v>1.7099934188049013</v>
      </c>
    </row>
    <row r="112" spans="1:33" ht="15" hidden="1" customHeight="1" x14ac:dyDescent="0.35">
      <c r="A112">
        <v>100</v>
      </c>
      <c r="B112">
        <v>20</v>
      </c>
      <c r="C112">
        <v>12</v>
      </c>
      <c r="D112">
        <v>2</v>
      </c>
      <c r="E112">
        <v>2</v>
      </c>
      <c r="F112">
        <v>2</v>
      </c>
      <c r="G112">
        <v>0</v>
      </c>
      <c r="H112">
        <v>1000000000</v>
      </c>
      <c r="I112">
        <v>100</v>
      </c>
      <c r="J112">
        <v>72</v>
      </c>
      <c r="K112">
        <v>24.666666666699999</v>
      </c>
      <c r="L112">
        <v>98.406476195400003</v>
      </c>
      <c r="M112">
        <v>98.171278851899999</v>
      </c>
      <c r="N112">
        <v>96.881918245700007</v>
      </c>
      <c r="O112">
        <v>97.426814143200005</v>
      </c>
      <c r="P112">
        <v>97.777920489699994</v>
      </c>
      <c r="Q112">
        <v>97.018643876200002</v>
      </c>
      <c r="R112">
        <v>98.357635415399997</v>
      </c>
      <c r="S112">
        <v>98.126819424600001</v>
      </c>
      <c r="T112">
        <v>99.097321511700002</v>
      </c>
      <c r="U112">
        <v>97.072676464400004</v>
      </c>
      <c r="V112">
        <v>99.249408349399999</v>
      </c>
      <c r="W112">
        <v>98.119305745700004</v>
      </c>
      <c r="X112">
        <v>99.027783108099996</v>
      </c>
      <c r="Y112">
        <v>99.472326043999999</v>
      </c>
      <c r="Z112">
        <v>97.707398522700004</v>
      </c>
      <c r="AA112">
        <v>94.681397762700001</v>
      </c>
      <c r="AB112">
        <v>97.031108689800007</v>
      </c>
      <c r="AC112">
        <v>98.190709547699996</v>
      </c>
      <c r="AD112">
        <v>97.348715717600001</v>
      </c>
      <c r="AE112">
        <v>98.319093435300005</v>
      </c>
      <c r="AF112">
        <f t="shared" si="2"/>
        <v>97.874237577060015</v>
      </c>
      <c r="AG112">
        <f t="shared" si="3"/>
        <v>1.0506302689343916</v>
      </c>
    </row>
    <row r="113" spans="1:33" ht="15" hidden="1" customHeight="1" x14ac:dyDescent="0.35">
      <c r="A113">
        <v>100</v>
      </c>
      <c r="B113">
        <v>20</v>
      </c>
      <c r="C113">
        <v>12</v>
      </c>
      <c r="D113">
        <v>2</v>
      </c>
      <c r="E113">
        <v>2</v>
      </c>
      <c r="F113">
        <v>2</v>
      </c>
      <c r="G113">
        <v>0</v>
      </c>
      <c r="H113">
        <v>1000000000</v>
      </c>
      <c r="I113">
        <v>100</v>
      </c>
      <c r="J113">
        <v>76</v>
      </c>
      <c r="K113">
        <v>24.666666666699999</v>
      </c>
      <c r="L113">
        <v>99.665884325199997</v>
      </c>
      <c r="M113">
        <v>99.502015594499994</v>
      </c>
      <c r="N113">
        <v>99.661359659200002</v>
      </c>
      <c r="O113">
        <v>99.212764693099999</v>
      </c>
      <c r="P113">
        <v>99.417620521200007</v>
      </c>
      <c r="Q113">
        <v>99.630603282099997</v>
      </c>
      <c r="R113">
        <v>99.843173779799997</v>
      </c>
      <c r="S113">
        <v>98.752202582400002</v>
      </c>
      <c r="T113">
        <v>99.185883473199993</v>
      </c>
      <c r="U113">
        <v>99.955561872199993</v>
      </c>
      <c r="V113">
        <v>97.780370291599993</v>
      </c>
      <c r="W113">
        <v>99.664450612799996</v>
      </c>
      <c r="X113">
        <v>99.612249605499997</v>
      </c>
      <c r="Y113">
        <v>98.222456238099994</v>
      </c>
      <c r="Z113">
        <v>99.218313641199998</v>
      </c>
      <c r="AA113">
        <v>99.1409685733</v>
      </c>
      <c r="AB113">
        <v>99.726217641700003</v>
      </c>
      <c r="AC113">
        <v>98.512265049000007</v>
      </c>
      <c r="AD113">
        <v>99.791610883100006</v>
      </c>
      <c r="AE113">
        <v>99.677598502999999</v>
      </c>
      <c r="AF113">
        <f t="shared" si="2"/>
        <v>99.308678541109998</v>
      </c>
      <c r="AG113">
        <f t="shared" si="3"/>
        <v>0.56531033003727871</v>
      </c>
    </row>
    <row r="114" spans="1:33" ht="15" hidden="1" customHeight="1" x14ac:dyDescent="0.35">
      <c r="A114">
        <v>100</v>
      </c>
      <c r="B114">
        <v>20</v>
      </c>
      <c r="C114">
        <v>12</v>
      </c>
      <c r="D114">
        <v>2</v>
      </c>
      <c r="E114">
        <v>2</v>
      </c>
      <c r="F114">
        <v>2</v>
      </c>
      <c r="G114">
        <v>0</v>
      </c>
      <c r="H114">
        <v>1000000000</v>
      </c>
      <c r="I114">
        <v>100</v>
      </c>
      <c r="J114">
        <v>80</v>
      </c>
      <c r="K114">
        <v>24.666666666699999</v>
      </c>
      <c r="L114">
        <v>99.885025997400007</v>
      </c>
      <c r="M114">
        <v>99.934843030300001</v>
      </c>
      <c r="N114">
        <v>98.8978455357</v>
      </c>
      <c r="O114">
        <v>99.9057960998</v>
      </c>
      <c r="P114">
        <v>98.957222321800003</v>
      </c>
      <c r="Q114">
        <v>99.033650362499998</v>
      </c>
      <c r="R114">
        <v>99.578102114900005</v>
      </c>
      <c r="S114">
        <v>99.022450036999999</v>
      </c>
      <c r="T114">
        <v>99.527068782800001</v>
      </c>
      <c r="U114">
        <v>98.982949484900004</v>
      </c>
      <c r="V114">
        <v>99.916440675199993</v>
      </c>
      <c r="W114">
        <v>98.641413611100006</v>
      </c>
      <c r="X114">
        <v>99.738515608399993</v>
      </c>
      <c r="Y114">
        <v>99.220406429199997</v>
      </c>
      <c r="Z114">
        <v>98.409057864299996</v>
      </c>
      <c r="AA114">
        <v>99.413992417800003</v>
      </c>
      <c r="AB114">
        <v>99.652864782999998</v>
      </c>
      <c r="AC114">
        <v>99.178659906299998</v>
      </c>
      <c r="AD114">
        <v>99.936480467699994</v>
      </c>
      <c r="AE114">
        <v>99.815238097100007</v>
      </c>
      <c r="AF114">
        <f t="shared" si="2"/>
        <v>99.382401181360009</v>
      </c>
      <c r="AG114">
        <f t="shared" si="3"/>
        <v>0.46163009269435695</v>
      </c>
    </row>
    <row r="115" spans="1:33" ht="15" hidden="1" customHeight="1" x14ac:dyDescent="0.35">
      <c r="A115">
        <v>100</v>
      </c>
      <c r="B115">
        <v>20</v>
      </c>
      <c r="C115">
        <v>6</v>
      </c>
      <c r="D115">
        <v>2</v>
      </c>
      <c r="E115">
        <v>2</v>
      </c>
      <c r="F115">
        <v>3</v>
      </c>
      <c r="G115">
        <v>0</v>
      </c>
      <c r="H115">
        <v>1000000000</v>
      </c>
      <c r="I115">
        <v>100</v>
      </c>
      <c r="J115">
        <v>72</v>
      </c>
      <c r="K115">
        <v>24.666666666699999</v>
      </c>
      <c r="L115">
        <v>25.499060540399999</v>
      </c>
      <c r="M115">
        <v>20.550166505699998</v>
      </c>
      <c r="N115">
        <v>22.924938969700001</v>
      </c>
      <c r="O115">
        <v>19.0316794226</v>
      </c>
      <c r="P115">
        <v>24.9815103416</v>
      </c>
      <c r="Q115">
        <v>20.0940856934</v>
      </c>
      <c r="R115">
        <v>23.274769622800001</v>
      </c>
      <c r="S115">
        <v>25.526083250700001</v>
      </c>
      <c r="T115">
        <v>15.560447271299999</v>
      </c>
      <c r="U115">
        <v>20.410970350100001</v>
      </c>
      <c r="V115">
        <v>26.3877387826</v>
      </c>
      <c r="W115">
        <v>25.940169746799999</v>
      </c>
      <c r="X115">
        <v>25.105804573299999</v>
      </c>
      <c r="Y115">
        <v>24.484801510499999</v>
      </c>
      <c r="Z115">
        <v>26.714850499800001</v>
      </c>
      <c r="AA115">
        <v>27.1087714421</v>
      </c>
      <c r="AB115">
        <v>28.5328846767</v>
      </c>
      <c r="AC115">
        <v>21.4765465051</v>
      </c>
      <c r="AD115">
        <v>17.323430464499999</v>
      </c>
      <c r="AE115">
        <v>20.385142156600001</v>
      </c>
      <c r="AF115">
        <f t="shared" si="2"/>
        <v>23.065692616315001</v>
      </c>
      <c r="AG115">
        <f t="shared" si="3"/>
        <v>3.451292507254244</v>
      </c>
    </row>
    <row r="116" spans="1:33" ht="15" hidden="1" customHeight="1" x14ac:dyDescent="0.35">
      <c r="A116">
        <v>100</v>
      </c>
      <c r="B116">
        <v>20</v>
      </c>
      <c r="C116">
        <v>6</v>
      </c>
      <c r="D116">
        <v>2</v>
      </c>
      <c r="E116">
        <v>2</v>
      </c>
      <c r="F116">
        <v>3</v>
      </c>
      <c r="G116">
        <v>0</v>
      </c>
      <c r="H116">
        <v>1000000000</v>
      </c>
      <c r="I116">
        <v>100</v>
      </c>
      <c r="J116">
        <v>76</v>
      </c>
      <c r="K116">
        <v>24.666666666699999</v>
      </c>
      <c r="L116">
        <v>25.630414268399999</v>
      </c>
      <c r="M116">
        <v>31.486955629600001</v>
      </c>
      <c r="N116">
        <v>23.965835172399998</v>
      </c>
      <c r="O116">
        <v>26.456650350699999</v>
      </c>
      <c r="P116">
        <v>29.029056708900001</v>
      </c>
      <c r="Q116">
        <v>27.264510358300001</v>
      </c>
      <c r="R116">
        <v>36.148475573399999</v>
      </c>
      <c r="S116">
        <v>31.491255216300001</v>
      </c>
      <c r="T116">
        <v>33.767217807900003</v>
      </c>
      <c r="U116">
        <v>30.727838122800001</v>
      </c>
      <c r="V116">
        <v>34.388527252199999</v>
      </c>
      <c r="W116">
        <v>37.534177786199997</v>
      </c>
      <c r="X116">
        <v>33.131275028399997</v>
      </c>
      <c r="Y116">
        <v>27.766369002400001</v>
      </c>
      <c r="Z116">
        <v>28.982480636999998</v>
      </c>
      <c r="AA116">
        <v>29.981407722699998</v>
      </c>
      <c r="AB116">
        <v>34.307183572699998</v>
      </c>
      <c r="AC116">
        <v>23.449007101999999</v>
      </c>
      <c r="AD116">
        <v>31.719323707600001</v>
      </c>
      <c r="AE116">
        <v>29.883916389900001</v>
      </c>
      <c r="AF116">
        <f t="shared" si="2"/>
        <v>30.355593870489997</v>
      </c>
      <c r="AG116">
        <f t="shared" si="3"/>
        <v>3.7895008332997961</v>
      </c>
    </row>
    <row r="117" spans="1:33" ht="15" hidden="1" customHeight="1" x14ac:dyDescent="0.35">
      <c r="A117">
        <v>100</v>
      </c>
      <c r="B117">
        <v>20</v>
      </c>
      <c r="C117">
        <v>6</v>
      </c>
      <c r="D117">
        <v>2</v>
      </c>
      <c r="E117">
        <v>2</v>
      </c>
      <c r="F117">
        <v>3</v>
      </c>
      <c r="G117">
        <v>0</v>
      </c>
      <c r="H117">
        <v>1000000000</v>
      </c>
      <c r="I117">
        <v>100</v>
      </c>
      <c r="J117">
        <v>80</v>
      </c>
      <c r="K117">
        <v>24.666666666699999</v>
      </c>
      <c r="L117">
        <v>37.573371288099999</v>
      </c>
      <c r="M117">
        <v>32.431341080300001</v>
      </c>
      <c r="N117">
        <v>40.583996498899999</v>
      </c>
      <c r="O117">
        <v>31.038194217400001</v>
      </c>
      <c r="P117">
        <v>30.173346524100001</v>
      </c>
      <c r="Q117">
        <v>40.790324193899998</v>
      </c>
      <c r="R117">
        <v>35.117051872200001</v>
      </c>
      <c r="S117">
        <v>42.684809239300002</v>
      </c>
      <c r="T117">
        <v>40.242185563</v>
      </c>
      <c r="U117">
        <v>38.656322881000001</v>
      </c>
      <c r="V117">
        <v>36.135656326000003</v>
      </c>
      <c r="W117">
        <v>33.501004440899997</v>
      </c>
      <c r="X117">
        <v>39.602353765399997</v>
      </c>
      <c r="Y117">
        <v>40.398617041800001</v>
      </c>
      <c r="Z117">
        <v>37.028168274099997</v>
      </c>
      <c r="AA117">
        <v>40.7023747263</v>
      </c>
      <c r="AB117">
        <v>40.1789188407</v>
      </c>
      <c r="AC117">
        <v>40.517031998999997</v>
      </c>
      <c r="AD117">
        <v>44.914662041900002</v>
      </c>
      <c r="AE117">
        <v>35.717309956599998</v>
      </c>
      <c r="AF117">
        <f t="shared" si="2"/>
        <v>37.899352038545004</v>
      </c>
      <c r="AG117">
        <f t="shared" si="3"/>
        <v>3.8424200502245811</v>
      </c>
    </row>
    <row r="118" spans="1:33" ht="15" hidden="1" customHeight="1" x14ac:dyDescent="0.35">
      <c r="A118">
        <v>100</v>
      </c>
      <c r="B118">
        <v>20</v>
      </c>
      <c r="C118">
        <v>8</v>
      </c>
      <c r="D118">
        <v>2</v>
      </c>
      <c r="E118">
        <v>2</v>
      </c>
      <c r="F118">
        <v>3</v>
      </c>
      <c r="G118">
        <v>0</v>
      </c>
      <c r="H118">
        <v>1000000000</v>
      </c>
      <c r="I118">
        <v>100</v>
      </c>
      <c r="J118">
        <v>72</v>
      </c>
      <c r="K118">
        <v>24.666666666699999</v>
      </c>
      <c r="L118">
        <v>65.050909924300001</v>
      </c>
      <c r="M118">
        <v>55.929459712899998</v>
      </c>
      <c r="N118">
        <v>57.043630322699997</v>
      </c>
      <c r="O118">
        <v>55.962724153300002</v>
      </c>
      <c r="P118">
        <v>58.7126192307</v>
      </c>
      <c r="Q118">
        <v>57.603408651099997</v>
      </c>
      <c r="R118">
        <v>56.794163487200002</v>
      </c>
      <c r="S118">
        <v>60.206887653899997</v>
      </c>
      <c r="T118">
        <v>54.025197888999998</v>
      </c>
      <c r="U118">
        <v>60.954052076000004</v>
      </c>
      <c r="V118">
        <v>57.672542706500003</v>
      </c>
      <c r="W118">
        <v>63.504436096399999</v>
      </c>
      <c r="X118">
        <v>63.905890159499997</v>
      </c>
      <c r="Y118">
        <v>66.137778879099997</v>
      </c>
      <c r="Z118">
        <v>64.307477634500003</v>
      </c>
      <c r="AA118">
        <v>58.025611617899997</v>
      </c>
      <c r="AB118">
        <v>55.624899326600001</v>
      </c>
      <c r="AC118">
        <v>66.381470630300001</v>
      </c>
      <c r="AD118">
        <v>59.266737211399999</v>
      </c>
      <c r="AE118">
        <v>51.050929919399998</v>
      </c>
      <c r="AF118">
        <f t="shared" si="2"/>
        <v>59.408041364135002</v>
      </c>
      <c r="AG118">
        <f t="shared" si="3"/>
        <v>4.1713863715158723</v>
      </c>
    </row>
    <row r="119" spans="1:33" ht="15" customHeight="1" x14ac:dyDescent="0.35">
      <c r="A119">
        <v>100</v>
      </c>
      <c r="B119">
        <v>20</v>
      </c>
      <c r="C119">
        <v>8</v>
      </c>
      <c r="D119">
        <v>2</v>
      </c>
      <c r="E119">
        <v>2</v>
      </c>
      <c r="F119">
        <v>3</v>
      </c>
      <c r="G119">
        <v>0</v>
      </c>
      <c r="H119">
        <v>1000000000</v>
      </c>
      <c r="I119">
        <v>100</v>
      </c>
      <c r="J119">
        <v>76</v>
      </c>
      <c r="K119">
        <v>24.666666666699999</v>
      </c>
      <c r="L119">
        <v>69.968765156499998</v>
      </c>
      <c r="M119">
        <v>67.185472994799994</v>
      </c>
      <c r="N119">
        <v>64.273770094499994</v>
      </c>
      <c r="O119">
        <v>70.538716093000005</v>
      </c>
      <c r="P119">
        <v>71.712546725199999</v>
      </c>
      <c r="Q119">
        <v>67.4672454886</v>
      </c>
      <c r="R119">
        <v>63.627271876199998</v>
      </c>
      <c r="S119">
        <v>65.0300219043</v>
      </c>
      <c r="T119">
        <v>69.251540783799996</v>
      </c>
      <c r="U119">
        <v>65.037786214799993</v>
      </c>
      <c r="V119">
        <v>71.527457744399996</v>
      </c>
      <c r="W119">
        <v>69.005409469200004</v>
      </c>
      <c r="X119">
        <v>68.945173637699995</v>
      </c>
      <c r="Y119">
        <v>64.341823624</v>
      </c>
      <c r="Z119">
        <v>64.430768002600004</v>
      </c>
      <c r="AA119">
        <v>70.103310327100004</v>
      </c>
      <c r="AB119">
        <v>75.211954862300004</v>
      </c>
      <c r="AC119">
        <v>68.925590643000007</v>
      </c>
      <c r="AD119">
        <v>74.384295105500001</v>
      </c>
      <c r="AE119">
        <v>66.460801642199996</v>
      </c>
      <c r="AF119">
        <f t="shared" si="2"/>
        <v>68.371486119485013</v>
      </c>
      <c r="AG119">
        <f t="shared" si="3"/>
        <v>3.2813781317100599</v>
      </c>
    </row>
    <row r="120" spans="1:33" ht="15" hidden="1" customHeight="1" x14ac:dyDescent="0.35">
      <c r="A120">
        <v>100</v>
      </c>
      <c r="B120">
        <v>20</v>
      </c>
      <c r="C120">
        <v>8</v>
      </c>
      <c r="D120">
        <v>2</v>
      </c>
      <c r="E120">
        <v>2</v>
      </c>
      <c r="F120">
        <v>3</v>
      </c>
      <c r="G120">
        <v>0</v>
      </c>
      <c r="H120">
        <v>1000000000</v>
      </c>
      <c r="I120">
        <v>100</v>
      </c>
      <c r="J120">
        <v>80</v>
      </c>
      <c r="K120">
        <v>24.666666666699999</v>
      </c>
      <c r="L120">
        <v>80.629697681600007</v>
      </c>
      <c r="M120">
        <v>81.581211277099996</v>
      </c>
      <c r="N120">
        <v>76.220841311699999</v>
      </c>
      <c r="O120">
        <v>83.335204691599998</v>
      </c>
      <c r="P120">
        <v>72.305019874300001</v>
      </c>
      <c r="Q120">
        <v>74.869787688100004</v>
      </c>
      <c r="R120">
        <v>68.391166154900006</v>
      </c>
      <c r="S120">
        <v>78.549901825299997</v>
      </c>
      <c r="T120">
        <v>76.043278844300005</v>
      </c>
      <c r="U120">
        <v>80.517110040299997</v>
      </c>
      <c r="V120">
        <v>76.089603764700001</v>
      </c>
      <c r="W120">
        <v>75.359829020700005</v>
      </c>
      <c r="X120">
        <v>64.110100563900005</v>
      </c>
      <c r="Y120">
        <v>85.110091642</v>
      </c>
      <c r="Z120">
        <v>75.813947389199996</v>
      </c>
      <c r="AA120">
        <v>81.400098570899999</v>
      </c>
      <c r="AB120">
        <v>77.998832822400004</v>
      </c>
      <c r="AC120">
        <v>76.514171689199998</v>
      </c>
      <c r="AD120">
        <v>71.021667393300007</v>
      </c>
      <c r="AE120">
        <v>67.494121748500007</v>
      </c>
      <c r="AF120">
        <f t="shared" si="2"/>
        <v>76.167784199699994</v>
      </c>
      <c r="AG120">
        <f t="shared" si="3"/>
        <v>5.2961222873905225</v>
      </c>
    </row>
    <row r="121" spans="1:33" hidden="1" x14ac:dyDescent="0.35">
      <c r="A121">
        <v>100</v>
      </c>
      <c r="B121">
        <v>20</v>
      </c>
      <c r="C121">
        <v>10</v>
      </c>
      <c r="D121">
        <v>2</v>
      </c>
      <c r="E121">
        <v>2</v>
      </c>
      <c r="F121">
        <v>3</v>
      </c>
      <c r="G121">
        <v>0</v>
      </c>
      <c r="H121">
        <v>1000000000</v>
      </c>
      <c r="I121">
        <v>100</v>
      </c>
      <c r="J121">
        <v>72</v>
      </c>
      <c r="K121">
        <v>24.666666666699999</v>
      </c>
      <c r="L121">
        <v>85.065132658400003</v>
      </c>
      <c r="M121">
        <v>87.137125495500001</v>
      </c>
      <c r="N121">
        <v>85.728693273800005</v>
      </c>
      <c r="O121">
        <v>88.698503909799996</v>
      </c>
      <c r="P121">
        <v>89.645327968700002</v>
      </c>
      <c r="Q121">
        <v>85.476102991700003</v>
      </c>
      <c r="R121">
        <v>86.084372894099999</v>
      </c>
      <c r="S121">
        <v>87.308091585599996</v>
      </c>
      <c r="T121">
        <v>90.162269113299999</v>
      </c>
      <c r="U121">
        <v>89.352724248900003</v>
      </c>
      <c r="V121">
        <v>87.821968031599994</v>
      </c>
      <c r="W121">
        <v>86.166670330700001</v>
      </c>
      <c r="X121">
        <v>92.236510317899999</v>
      </c>
      <c r="Y121">
        <v>92.934412050099994</v>
      </c>
      <c r="Z121">
        <v>90.776147471399995</v>
      </c>
      <c r="AA121">
        <v>91.567602879099994</v>
      </c>
      <c r="AB121">
        <v>86.723209039099999</v>
      </c>
      <c r="AC121">
        <v>87.804191259500001</v>
      </c>
      <c r="AD121">
        <v>91.620340358099995</v>
      </c>
      <c r="AE121">
        <v>86.023653801500004</v>
      </c>
      <c r="AF121">
        <f t="shared" si="2"/>
        <v>88.416652483939998</v>
      </c>
      <c r="AG121">
        <f t="shared" si="3"/>
        <v>2.4090341951025662</v>
      </c>
    </row>
    <row r="122" spans="1:33" hidden="1" x14ac:dyDescent="0.35">
      <c r="A122">
        <v>100</v>
      </c>
      <c r="B122">
        <v>20</v>
      </c>
      <c r="C122">
        <v>10</v>
      </c>
      <c r="D122">
        <v>2</v>
      </c>
      <c r="E122">
        <v>2</v>
      </c>
      <c r="F122">
        <v>3</v>
      </c>
      <c r="G122">
        <v>0</v>
      </c>
      <c r="H122">
        <v>1000000000</v>
      </c>
      <c r="I122">
        <v>100</v>
      </c>
      <c r="J122">
        <v>76</v>
      </c>
      <c r="K122">
        <v>24.666666666699999</v>
      </c>
      <c r="L122">
        <v>95.165249565899998</v>
      </c>
      <c r="M122">
        <v>93.541983782599999</v>
      </c>
      <c r="N122">
        <v>91.735927418800003</v>
      </c>
      <c r="O122">
        <v>93.802841663099997</v>
      </c>
      <c r="P122">
        <v>88.560277095900005</v>
      </c>
      <c r="Q122">
        <v>89.003783326900006</v>
      </c>
      <c r="R122">
        <v>92.821807981999996</v>
      </c>
      <c r="S122">
        <v>91.379899915300001</v>
      </c>
      <c r="T122">
        <v>94.856212564000003</v>
      </c>
      <c r="U122">
        <v>93.2453439823</v>
      </c>
      <c r="V122">
        <v>94.011225517100002</v>
      </c>
      <c r="W122">
        <v>85.324766197000002</v>
      </c>
      <c r="X122">
        <v>91.334220189299998</v>
      </c>
      <c r="Y122">
        <v>94.706899160899994</v>
      </c>
      <c r="Z122">
        <v>93.551899228099998</v>
      </c>
      <c r="AA122">
        <v>95.7106878405</v>
      </c>
      <c r="AB122">
        <v>94.434290409200003</v>
      </c>
      <c r="AC122">
        <v>92.3426260496</v>
      </c>
      <c r="AD122">
        <v>93.184716289700006</v>
      </c>
      <c r="AE122">
        <v>96.961790274400002</v>
      </c>
      <c r="AF122">
        <f t="shared" si="2"/>
        <v>92.78382242263001</v>
      </c>
      <c r="AG122">
        <f t="shared" si="3"/>
        <v>2.6422025398129967</v>
      </c>
    </row>
    <row r="123" spans="1:33" hidden="1" x14ac:dyDescent="0.35">
      <c r="A123">
        <v>100</v>
      </c>
      <c r="B123">
        <v>20</v>
      </c>
      <c r="C123">
        <v>10</v>
      </c>
      <c r="D123">
        <v>2</v>
      </c>
      <c r="E123">
        <v>2</v>
      </c>
      <c r="F123">
        <v>3</v>
      </c>
      <c r="G123">
        <v>0</v>
      </c>
      <c r="H123">
        <v>1000000000</v>
      </c>
      <c r="I123">
        <v>100</v>
      </c>
      <c r="J123">
        <v>80</v>
      </c>
      <c r="K123">
        <v>24.666666666699999</v>
      </c>
      <c r="L123">
        <v>94.403114611700005</v>
      </c>
      <c r="M123">
        <v>94.8353649445</v>
      </c>
      <c r="N123">
        <v>93.562396796900003</v>
      </c>
      <c r="O123">
        <v>94.839376883599996</v>
      </c>
      <c r="P123">
        <v>92.858385127600002</v>
      </c>
      <c r="Q123">
        <v>91.751733296400005</v>
      </c>
      <c r="R123">
        <v>94.606275946799997</v>
      </c>
      <c r="S123">
        <v>95.495878716199996</v>
      </c>
      <c r="T123">
        <v>91.9496995752</v>
      </c>
      <c r="U123">
        <v>94.1852358334</v>
      </c>
      <c r="V123">
        <v>95.380617016900004</v>
      </c>
      <c r="W123">
        <v>92.300035857300003</v>
      </c>
      <c r="X123">
        <v>95.569745495299998</v>
      </c>
      <c r="Y123">
        <v>95.2781754138</v>
      </c>
      <c r="Z123">
        <v>95.041940402500003</v>
      </c>
      <c r="AA123">
        <v>97.068395622599994</v>
      </c>
      <c r="AB123">
        <v>91.288592397299993</v>
      </c>
      <c r="AC123">
        <v>94.082619425499999</v>
      </c>
      <c r="AD123">
        <v>94.5750022796</v>
      </c>
      <c r="AE123">
        <v>94.389897458700005</v>
      </c>
      <c r="AF123">
        <f t="shared" si="2"/>
        <v>94.173124155089994</v>
      </c>
      <c r="AG123">
        <f t="shared" si="3"/>
        <v>1.4421149949730687</v>
      </c>
    </row>
    <row r="124" spans="1:33" ht="15" hidden="1" customHeight="1" x14ac:dyDescent="0.35">
      <c r="A124">
        <v>100</v>
      </c>
      <c r="B124">
        <v>20</v>
      </c>
      <c r="C124">
        <v>12</v>
      </c>
      <c r="D124">
        <v>2</v>
      </c>
      <c r="E124">
        <v>2</v>
      </c>
      <c r="F124">
        <v>3</v>
      </c>
      <c r="G124">
        <v>0</v>
      </c>
      <c r="H124">
        <v>1000000000</v>
      </c>
      <c r="I124">
        <v>100</v>
      </c>
      <c r="J124">
        <v>72</v>
      </c>
      <c r="K124">
        <v>24.666666666699999</v>
      </c>
      <c r="L124">
        <v>99.318166309600002</v>
      </c>
      <c r="M124">
        <v>98.287259122500004</v>
      </c>
      <c r="N124">
        <v>99.727051887399995</v>
      </c>
      <c r="O124">
        <v>98.869913897900005</v>
      </c>
      <c r="P124">
        <v>99.092096062600007</v>
      </c>
      <c r="Q124">
        <v>97.876894989700006</v>
      </c>
      <c r="R124">
        <v>98.658259752800006</v>
      </c>
      <c r="S124">
        <v>98.298943689500007</v>
      </c>
      <c r="T124">
        <v>98.320697584499996</v>
      </c>
      <c r="U124">
        <v>98.967692359899999</v>
      </c>
      <c r="V124">
        <v>97.139235220399996</v>
      </c>
      <c r="W124">
        <v>96.643952077700007</v>
      </c>
      <c r="X124">
        <v>97.147744078700001</v>
      </c>
      <c r="Y124">
        <v>98.425744195899995</v>
      </c>
      <c r="Z124">
        <v>98.364159061199999</v>
      </c>
      <c r="AA124">
        <v>97.779078659199996</v>
      </c>
      <c r="AB124">
        <v>99.100579528099999</v>
      </c>
      <c r="AC124">
        <v>99.205266011999996</v>
      </c>
      <c r="AD124">
        <v>98.557448567199998</v>
      </c>
      <c r="AE124">
        <v>96.974162510499994</v>
      </c>
      <c r="AF124">
        <f t="shared" si="2"/>
        <v>98.33771727836502</v>
      </c>
      <c r="AG124">
        <f t="shared" si="3"/>
        <v>0.82897792458464403</v>
      </c>
    </row>
    <row r="125" spans="1:33" ht="15" hidden="1" customHeight="1" x14ac:dyDescent="0.35">
      <c r="A125">
        <v>100</v>
      </c>
      <c r="B125">
        <v>20</v>
      </c>
      <c r="C125">
        <v>12</v>
      </c>
      <c r="D125">
        <v>2</v>
      </c>
      <c r="E125">
        <v>2</v>
      </c>
      <c r="F125">
        <v>3</v>
      </c>
      <c r="G125">
        <v>0</v>
      </c>
      <c r="H125">
        <v>1000000000</v>
      </c>
      <c r="I125">
        <v>100</v>
      </c>
      <c r="J125">
        <v>76</v>
      </c>
      <c r="K125">
        <v>24.666666666699999</v>
      </c>
      <c r="L125">
        <v>99.773060850600004</v>
      </c>
      <c r="M125">
        <v>98.857663889400001</v>
      </c>
      <c r="N125">
        <v>98.894873653199994</v>
      </c>
      <c r="O125">
        <v>98.2000999845</v>
      </c>
      <c r="P125">
        <v>98.531678276299999</v>
      </c>
      <c r="Q125">
        <v>99.069478461800003</v>
      </c>
      <c r="R125">
        <v>97.817520011100001</v>
      </c>
      <c r="S125">
        <v>98.235980613699994</v>
      </c>
      <c r="T125">
        <v>99.509502957799995</v>
      </c>
      <c r="U125">
        <v>98.770124824600003</v>
      </c>
      <c r="V125">
        <v>98.449000193299995</v>
      </c>
      <c r="W125">
        <v>98.959640519800004</v>
      </c>
      <c r="X125">
        <v>99.259176590099997</v>
      </c>
      <c r="Y125">
        <v>99.389819449599997</v>
      </c>
      <c r="Z125">
        <v>99.688082911199999</v>
      </c>
      <c r="AA125">
        <v>99.750866566300004</v>
      </c>
      <c r="AB125">
        <v>98.608785762899998</v>
      </c>
      <c r="AC125">
        <v>99.472175354200004</v>
      </c>
      <c r="AD125">
        <v>95.991914792900005</v>
      </c>
      <c r="AE125">
        <v>99.752609883199995</v>
      </c>
      <c r="AF125">
        <f t="shared" si="2"/>
        <v>98.849102777324987</v>
      </c>
      <c r="AG125">
        <f t="shared" si="3"/>
        <v>0.86268662226830295</v>
      </c>
    </row>
    <row r="126" spans="1:33" ht="15" hidden="1" customHeight="1" x14ac:dyDescent="0.35">
      <c r="A126">
        <v>100</v>
      </c>
      <c r="B126">
        <v>20</v>
      </c>
      <c r="C126">
        <v>12</v>
      </c>
      <c r="D126">
        <v>2</v>
      </c>
      <c r="E126">
        <v>2</v>
      </c>
      <c r="F126">
        <v>3</v>
      </c>
      <c r="G126">
        <v>0</v>
      </c>
      <c r="H126">
        <v>1000000000</v>
      </c>
      <c r="I126">
        <v>100</v>
      </c>
      <c r="J126">
        <v>80</v>
      </c>
      <c r="K126">
        <v>24.666666666699999</v>
      </c>
      <c r="L126">
        <v>99.883491310899998</v>
      </c>
      <c r="M126">
        <v>99.937890904300005</v>
      </c>
      <c r="N126">
        <v>99.935024200800001</v>
      </c>
      <c r="O126">
        <v>98.873989788700001</v>
      </c>
      <c r="P126">
        <v>99.940721618300003</v>
      </c>
      <c r="Q126">
        <v>99.747636920600002</v>
      </c>
      <c r="R126">
        <v>99.868776383599993</v>
      </c>
      <c r="S126">
        <v>99.638478359499999</v>
      </c>
      <c r="T126">
        <v>98.785026147699995</v>
      </c>
      <c r="U126">
        <v>99.812094053500005</v>
      </c>
      <c r="V126">
        <v>99.558194951499999</v>
      </c>
      <c r="W126">
        <v>98.821484933999997</v>
      </c>
      <c r="X126">
        <v>99.983141320599998</v>
      </c>
      <c r="Y126">
        <v>99.620789275899995</v>
      </c>
      <c r="Z126">
        <v>99.635308614500005</v>
      </c>
      <c r="AA126">
        <v>99.874275378199997</v>
      </c>
      <c r="AB126">
        <v>99.467045704900002</v>
      </c>
      <c r="AC126">
        <v>98.994506420600004</v>
      </c>
      <c r="AD126">
        <v>99.753704945899997</v>
      </c>
      <c r="AE126">
        <v>99.974975715799999</v>
      </c>
      <c r="AF126">
        <f t="shared" si="2"/>
        <v>99.605327847490003</v>
      </c>
      <c r="AG126">
        <f t="shared" si="3"/>
        <v>0.39586267953588922</v>
      </c>
    </row>
    <row r="127" spans="1:33" ht="15" hidden="1" customHeight="1" x14ac:dyDescent="0.35">
      <c r="A127">
        <v>100</v>
      </c>
      <c r="B127">
        <v>20</v>
      </c>
      <c r="C127">
        <v>6</v>
      </c>
      <c r="D127">
        <v>2</v>
      </c>
      <c r="E127">
        <v>2</v>
      </c>
      <c r="F127">
        <v>4</v>
      </c>
      <c r="G127">
        <v>0</v>
      </c>
      <c r="H127">
        <v>1000000000</v>
      </c>
      <c r="I127">
        <v>100</v>
      </c>
      <c r="J127">
        <v>72</v>
      </c>
      <c r="K127">
        <v>24.666666666699999</v>
      </c>
      <c r="L127">
        <v>23.370475020499999</v>
      </c>
      <c r="M127">
        <v>23.825122398200001</v>
      </c>
      <c r="N127">
        <v>26.9835643752</v>
      </c>
      <c r="O127">
        <v>32.249320436300003</v>
      </c>
      <c r="P127">
        <v>30.312643687600001</v>
      </c>
      <c r="Q127">
        <v>22.526821184100001</v>
      </c>
      <c r="R127">
        <v>28.3685556842</v>
      </c>
      <c r="S127">
        <v>24.818204748199999</v>
      </c>
      <c r="T127">
        <v>24.1508361466</v>
      </c>
      <c r="U127">
        <v>23.215431627400001</v>
      </c>
      <c r="V127">
        <v>30.5351191279</v>
      </c>
      <c r="W127">
        <v>20.662586578500001</v>
      </c>
      <c r="X127">
        <v>18.436541482700001</v>
      </c>
      <c r="Y127">
        <v>24.429758431100002</v>
      </c>
      <c r="Z127">
        <v>17.241557803599999</v>
      </c>
      <c r="AA127">
        <v>27.126452049099999</v>
      </c>
      <c r="AB127">
        <v>29.790686189999999</v>
      </c>
      <c r="AC127">
        <v>25.097909733600002</v>
      </c>
      <c r="AD127">
        <v>25.326983113800001</v>
      </c>
      <c r="AE127">
        <v>27.615144342600001</v>
      </c>
      <c r="AF127">
        <f t="shared" si="2"/>
        <v>25.30418570806</v>
      </c>
      <c r="AG127">
        <f t="shared" si="3"/>
        <v>3.8456163713632634</v>
      </c>
    </row>
    <row r="128" spans="1:33" ht="15" hidden="1" customHeight="1" x14ac:dyDescent="0.35">
      <c r="A128">
        <v>100</v>
      </c>
      <c r="B128">
        <v>20</v>
      </c>
      <c r="C128">
        <v>6</v>
      </c>
      <c r="D128">
        <v>2</v>
      </c>
      <c r="E128">
        <v>2</v>
      </c>
      <c r="F128">
        <v>4</v>
      </c>
      <c r="G128">
        <v>0</v>
      </c>
      <c r="H128">
        <v>1000000000</v>
      </c>
      <c r="I128">
        <v>100</v>
      </c>
      <c r="J128">
        <v>76</v>
      </c>
      <c r="K128">
        <v>24.666666666699999</v>
      </c>
      <c r="L128">
        <v>26.2164551698</v>
      </c>
      <c r="M128">
        <v>30.395264066999999</v>
      </c>
      <c r="N128">
        <v>27.746308114400001</v>
      </c>
      <c r="O128">
        <v>30.026643673700001</v>
      </c>
      <c r="P128">
        <v>36.6773524149</v>
      </c>
      <c r="Q128">
        <v>33.163533690900003</v>
      </c>
      <c r="R128">
        <v>36.567870372400002</v>
      </c>
      <c r="S128">
        <v>35.352922675899997</v>
      </c>
      <c r="T128">
        <v>32.937172172399997</v>
      </c>
      <c r="U128">
        <v>33.705822161299999</v>
      </c>
      <c r="V128">
        <v>37.822371224699999</v>
      </c>
      <c r="W128">
        <v>37.4376217565</v>
      </c>
      <c r="X128">
        <v>25.786904538400002</v>
      </c>
      <c r="Y128">
        <v>40.229103299199998</v>
      </c>
      <c r="Z128">
        <v>34.097139859499997</v>
      </c>
      <c r="AA128">
        <v>27.450096088399999</v>
      </c>
      <c r="AB128">
        <v>41.804301191</v>
      </c>
      <c r="AC128">
        <v>30.721512195300001</v>
      </c>
      <c r="AD128">
        <v>31.3703147676</v>
      </c>
      <c r="AE128">
        <v>33.401435745699999</v>
      </c>
      <c r="AF128">
        <f t="shared" si="2"/>
        <v>33.145507258949998</v>
      </c>
      <c r="AG128">
        <f t="shared" si="3"/>
        <v>4.3926266684908315</v>
      </c>
    </row>
    <row r="129" spans="1:33" ht="15" hidden="1" customHeight="1" x14ac:dyDescent="0.35">
      <c r="A129">
        <v>100</v>
      </c>
      <c r="B129">
        <v>20</v>
      </c>
      <c r="C129">
        <v>6</v>
      </c>
      <c r="D129">
        <v>2</v>
      </c>
      <c r="E129">
        <v>2</v>
      </c>
      <c r="F129">
        <v>4</v>
      </c>
      <c r="G129">
        <v>0</v>
      </c>
      <c r="H129">
        <v>1000000000</v>
      </c>
      <c r="I129">
        <v>100</v>
      </c>
      <c r="J129">
        <v>80</v>
      </c>
      <c r="K129">
        <v>24.666666666699999</v>
      </c>
      <c r="L129">
        <v>41.5980925008</v>
      </c>
      <c r="M129">
        <v>44.618166858400002</v>
      </c>
      <c r="N129">
        <v>42.284886249700001</v>
      </c>
      <c r="O129">
        <v>33.115943124300003</v>
      </c>
      <c r="P129">
        <v>50.873448096099999</v>
      </c>
      <c r="Q129">
        <v>46.6668159647</v>
      </c>
      <c r="R129">
        <v>43.578010147599997</v>
      </c>
      <c r="S129">
        <v>39.457980710699999</v>
      </c>
      <c r="T129">
        <v>38.591623845100003</v>
      </c>
      <c r="U129">
        <v>44.571014240899999</v>
      </c>
      <c r="V129">
        <v>40.965768718100001</v>
      </c>
      <c r="W129">
        <v>36.9607969164</v>
      </c>
      <c r="X129">
        <v>44.368627980799999</v>
      </c>
      <c r="Y129">
        <v>36.109899050599999</v>
      </c>
      <c r="Z129">
        <v>50.215305041999997</v>
      </c>
      <c r="AA129">
        <v>46.753204172499998</v>
      </c>
      <c r="AB129">
        <v>39.124464992500002</v>
      </c>
      <c r="AC129">
        <v>38.749853905899997</v>
      </c>
      <c r="AD129">
        <v>43.647658474700002</v>
      </c>
      <c r="AE129">
        <v>40.2016501353</v>
      </c>
      <c r="AF129">
        <f t="shared" si="2"/>
        <v>42.122660556354994</v>
      </c>
      <c r="AG129">
        <f t="shared" si="3"/>
        <v>4.4443868139501195</v>
      </c>
    </row>
    <row r="130" spans="1:33" ht="15" hidden="1" customHeight="1" x14ac:dyDescent="0.35">
      <c r="A130">
        <v>100</v>
      </c>
      <c r="B130">
        <v>20</v>
      </c>
      <c r="C130">
        <v>8</v>
      </c>
      <c r="D130">
        <v>2</v>
      </c>
      <c r="E130">
        <v>2</v>
      </c>
      <c r="F130">
        <v>4</v>
      </c>
      <c r="G130">
        <v>0</v>
      </c>
      <c r="H130">
        <v>1000000000</v>
      </c>
      <c r="I130">
        <v>100</v>
      </c>
      <c r="J130">
        <v>72</v>
      </c>
      <c r="K130">
        <v>24.666666666699999</v>
      </c>
      <c r="L130">
        <v>66.893379224900002</v>
      </c>
      <c r="M130">
        <v>63.690326020800001</v>
      </c>
      <c r="N130">
        <v>57.498626238200004</v>
      </c>
      <c r="O130">
        <v>57.158654642199998</v>
      </c>
      <c r="P130">
        <v>61.234325887200001</v>
      </c>
      <c r="Q130">
        <v>64.578890415800004</v>
      </c>
      <c r="R130">
        <v>60.563586670699998</v>
      </c>
      <c r="S130">
        <v>54.016375453800002</v>
      </c>
      <c r="T130">
        <v>54.772595078899997</v>
      </c>
      <c r="U130">
        <v>58.148980679200001</v>
      </c>
      <c r="V130">
        <v>67.222694313199995</v>
      </c>
      <c r="W130">
        <v>56.9094096002</v>
      </c>
      <c r="X130">
        <v>59.943129373799998</v>
      </c>
      <c r="Y130">
        <v>72.129937310299994</v>
      </c>
      <c r="Z130">
        <v>68.616911981100003</v>
      </c>
      <c r="AA130">
        <v>65.989392320500002</v>
      </c>
      <c r="AB130">
        <v>59.392580491799997</v>
      </c>
      <c r="AC130">
        <v>62.941446795600001</v>
      </c>
      <c r="AD130">
        <v>61.940405659600003</v>
      </c>
      <c r="AE130">
        <v>62.290435299999999</v>
      </c>
      <c r="AF130">
        <f t="shared" si="2"/>
        <v>61.796604172889985</v>
      </c>
      <c r="AG130">
        <f t="shared" si="3"/>
        <v>4.6759426605202021</v>
      </c>
    </row>
    <row r="131" spans="1:33" ht="15" customHeight="1" x14ac:dyDescent="0.35">
      <c r="A131">
        <v>100</v>
      </c>
      <c r="B131">
        <v>20</v>
      </c>
      <c r="C131">
        <v>8</v>
      </c>
      <c r="D131">
        <v>2</v>
      </c>
      <c r="E131">
        <v>2</v>
      </c>
      <c r="F131">
        <v>4</v>
      </c>
      <c r="G131">
        <v>0</v>
      </c>
      <c r="H131">
        <v>1000000000</v>
      </c>
      <c r="I131">
        <v>100</v>
      </c>
      <c r="J131">
        <v>76</v>
      </c>
      <c r="K131">
        <v>24.666666666699999</v>
      </c>
      <c r="L131">
        <v>64.831492172300003</v>
      </c>
      <c r="M131">
        <v>67.238953928499996</v>
      </c>
      <c r="N131">
        <v>75.16643277</v>
      </c>
      <c r="O131">
        <v>69.925478460999997</v>
      </c>
      <c r="P131">
        <v>76.636804380800001</v>
      </c>
      <c r="Q131">
        <v>59.359408780899997</v>
      </c>
      <c r="R131">
        <v>67.907860742300002</v>
      </c>
      <c r="S131">
        <v>72.154517666999993</v>
      </c>
      <c r="T131">
        <v>69.279305458899998</v>
      </c>
      <c r="U131">
        <v>63.990149217599999</v>
      </c>
      <c r="V131">
        <v>69.290880818800005</v>
      </c>
      <c r="W131">
        <v>72.455441620000002</v>
      </c>
      <c r="X131">
        <v>66.463597683000003</v>
      </c>
      <c r="Y131">
        <v>61.396084000199998</v>
      </c>
      <c r="Z131">
        <v>70.924350770299995</v>
      </c>
      <c r="AA131">
        <v>69.003088079199998</v>
      </c>
      <c r="AB131">
        <v>72.589393567299993</v>
      </c>
      <c r="AC131">
        <v>70.079020976799995</v>
      </c>
      <c r="AD131">
        <v>73.713340250499996</v>
      </c>
      <c r="AE131">
        <v>61.732921446799999</v>
      </c>
      <c r="AF131">
        <f t="shared" si="2"/>
        <v>68.706926139610005</v>
      </c>
      <c r="AG131">
        <f t="shared" si="3"/>
        <v>4.5512535831375249</v>
      </c>
    </row>
    <row r="132" spans="1:33" ht="15" hidden="1" customHeight="1" x14ac:dyDescent="0.35">
      <c r="A132">
        <v>100</v>
      </c>
      <c r="B132">
        <v>20</v>
      </c>
      <c r="C132">
        <v>8</v>
      </c>
      <c r="D132">
        <v>2</v>
      </c>
      <c r="E132">
        <v>2</v>
      </c>
      <c r="F132">
        <v>4</v>
      </c>
      <c r="G132">
        <v>0</v>
      </c>
      <c r="H132">
        <v>1000000000</v>
      </c>
      <c r="I132">
        <v>100</v>
      </c>
      <c r="J132">
        <v>80</v>
      </c>
      <c r="K132">
        <v>24.666666666699999</v>
      </c>
      <c r="L132">
        <v>84.829600523400003</v>
      </c>
      <c r="M132">
        <v>69.928072323400002</v>
      </c>
      <c r="N132">
        <v>78.179145966199997</v>
      </c>
      <c r="O132">
        <v>75.652660659299997</v>
      </c>
      <c r="P132">
        <v>79.652738826800004</v>
      </c>
      <c r="Q132">
        <v>73.541836704199994</v>
      </c>
      <c r="R132">
        <v>66.4796195574</v>
      </c>
      <c r="S132">
        <v>79.581431370199994</v>
      </c>
      <c r="T132">
        <v>77.093565789799996</v>
      </c>
      <c r="U132">
        <v>84.949958357599996</v>
      </c>
      <c r="V132">
        <v>83.934223123300001</v>
      </c>
      <c r="W132">
        <v>81.602052671099997</v>
      </c>
      <c r="X132">
        <v>77.986905074399999</v>
      </c>
      <c r="Y132">
        <v>77.130606740100006</v>
      </c>
      <c r="Z132">
        <v>84.4434124016</v>
      </c>
      <c r="AA132">
        <v>72.619764745599994</v>
      </c>
      <c r="AB132">
        <v>86.240920715599998</v>
      </c>
      <c r="AC132">
        <v>81.283109804299997</v>
      </c>
      <c r="AD132">
        <v>82.195876534600004</v>
      </c>
      <c r="AE132">
        <v>75.905644168899997</v>
      </c>
      <c r="AF132">
        <f t="shared" si="2"/>
        <v>78.661557302890003</v>
      </c>
      <c r="AG132">
        <f t="shared" si="3"/>
        <v>5.1750960524116714</v>
      </c>
    </row>
    <row r="133" spans="1:33" hidden="1" x14ac:dyDescent="0.35">
      <c r="A133">
        <v>100</v>
      </c>
      <c r="B133">
        <v>20</v>
      </c>
      <c r="C133">
        <v>10</v>
      </c>
      <c r="D133">
        <v>2</v>
      </c>
      <c r="E133">
        <v>2</v>
      </c>
      <c r="F133">
        <v>4</v>
      </c>
      <c r="G133">
        <v>0</v>
      </c>
      <c r="H133">
        <v>1000000000</v>
      </c>
      <c r="I133">
        <v>100</v>
      </c>
      <c r="J133">
        <v>72</v>
      </c>
      <c r="K133">
        <v>24.666666666699999</v>
      </c>
      <c r="L133">
        <v>90.667854008700004</v>
      </c>
      <c r="M133">
        <v>88.396524692200003</v>
      </c>
      <c r="N133">
        <v>87.189576590000001</v>
      </c>
      <c r="O133">
        <v>89.224927396200002</v>
      </c>
      <c r="P133">
        <v>89.773645374200001</v>
      </c>
      <c r="Q133">
        <v>88.908589075799995</v>
      </c>
      <c r="R133">
        <v>88.150430459199995</v>
      </c>
      <c r="S133">
        <v>87.469547623899999</v>
      </c>
      <c r="T133">
        <v>92.374837882500003</v>
      </c>
      <c r="U133">
        <v>89.084053926199999</v>
      </c>
      <c r="V133">
        <v>87.7689093969</v>
      </c>
      <c r="W133">
        <v>91.424296354199996</v>
      </c>
      <c r="X133">
        <v>93.439874423500001</v>
      </c>
      <c r="Y133">
        <v>94.245944917700001</v>
      </c>
      <c r="Z133">
        <v>85.0385075258</v>
      </c>
      <c r="AA133">
        <v>90.369299786499994</v>
      </c>
      <c r="AB133">
        <v>84.735549596599995</v>
      </c>
      <c r="AC133">
        <v>90.103526579399997</v>
      </c>
      <c r="AD133">
        <v>87.116731986900007</v>
      </c>
      <c r="AE133">
        <v>86.302430053099997</v>
      </c>
      <c r="AF133">
        <f t="shared" si="2"/>
        <v>89.089252882475009</v>
      </c>
      <c r="AG133">
        <f t="shared" si="3"/>
        <v>2.487999894778631</v>
      </c>
    </row>
    <row r="134" spans="1:33" hidden="1" x14ac:dyDescent="0.35">
      <c r="A134">
        <v>100</v>
      </c>
      <c r="B134">
        <v>20</v>
      </c>
      <c r="C134">
        <v>10</v>
      </c>
      <c r="D134">
        <v>2</v>
      </c>
      <c r="E134">
        <v>2</v>
      </c>
      <c r="F134">
        <v>4</v>
      </c>
      <c r="G134">
        <v>0</v>
      </c>
      <c r="H134">
        <v>1000000000</v>
      </c>
      <c r="I134">
        <v>100</v>
      </c>
      <c r="J134">
        <v>76</v>
      </c>
      <c r="K134">
        <v>24.666666666699999</v>
      </c>
      <c r="L134">
        <v>94.353929362499997</v>
      </c>
      <c r="M134">
        <v>96.2696627702</v>
      </c>
      <c r="N134">
        <v>93.203134946399999</v>
      </c>
      <c r="O134">
        <v>91.438426738999993</v>
      </c>
      <c r="P134">
        <v>93.289397033599997</v>
      </c>
      <c r="Q134">
        <v>93.142818398100005</v>
      </c>
      <c r="R134">
        <v>92.204225229299993</v>
      </c>
      <c r="S134">
        <v>88.185500093399995</v>
      </c>
      <c r="T134">
        <v>94.272130670899998</v>
      </c>
      <c r="U134">
        <v>95.649296062299996</v>
      </c>
      <c r="V134">
        <v>93.335090008799995</v>
      </c>
      <c r="W134">
        <v>91.636678550200003</v>
      </c>
      <c r="X134">
        <v>94.224617441299998</v>
      </c>
      <c r="Y134">
        <v>95.355794071000005</v>
      </c>
      <c r="Z134">
        <v>93.755609334900001</v>
      </c>
      <c r="AA134">
        <v>94.223940901999995</v>
      </c>
      <c r="AB134">
        <v>95.819689589500001</v>
      </c>
      <c r="AC134">
        <v>94.015461093900001</v>
      </c>
      <c r="AD134">
        <v>95.971156778700006</v>
      </c>
      <c r="AE134">
        <v>94.636615437700002</v>
      </c>
      <c r="AF134">
        <f t="shared" si="2"/>
        <v>93.749158725685021</v>
      </c>
      <c r="AG134">
        <f t="shared" si="3"/>
        <v>1.8426906048388396</v>
      </c>
    </row>
    <row r="135" spans="1:33" hidden="1" x14ac:dyDescent="0.35">
      <c r="A135">
        <v>100</v>
      </c>
      <c r="B135">
        <v>20</v>
      </c>
      <c r="C135">
        <v>10</v>
      </c>
      <c r="D135">
        <v>2</v>
      </c>
      <c r="E135">
        <v>2</v>
      </c>
      <c r="F135">
        <v>4</v>
      </c>
      <c r="G135">
        <v>0</v>
      </c>
      <c r="H135">
        <v>1000000000</v>
      </c>
      <c r="I135">
        <v>100</v>
      </c>
      <c r="J135">
        <v>80</v>
      </c>
      <c r="K135">
        <v>24.666666666699999</v>
      </c>
      <c r="L135">
        <v>96.535906308700007</v>
      </c>
      <c r="M135">
        <v>93.382282594399996</v>
      </c>
      <c r="N135">
        <v>95.046523975300005</v>
      </c>
      <c r="O135">
        <v>92.189039895899995</v>
      </c>
      <c r="P135">
        <v>96.057001205199995</v>
      </c>
      <c r="Q135">
        <v>94.643579550799998</v>
      </c>
      <c r="R135">
        <v>95.119790731699993</v>
      </c>
      <c r="S135">
        <v>97.899096657300007</v>
      </c>
      <c r="T135">
        <v>96.019468906</v>
      </c>
      <c r="U135">
        <v>97.915217899200002</v>
      </c>
      <c r="V135">
        <v>98.002052817000006</v>
      </c>
      <c r="W135">
        <v>95.215788508700001</v>
      </c>
      <c r="X135">
        <v>98.031133920800002</v>
      </c>
      <c r="Y135">
        <v>95.354605011499999</v>
      </c>
      <c r="Z135">
        <v>94.761090460299997</v>
      </c>
      <c r="AA135">
        <v>92.114043321500006</v>
      </c>
      <c r="AB135">
        <v>96.004979905799999</v>
      </c>
      <c r="AC135">
        <v>96.592882971400002</v>
      </c>
      <c r="AD135">
        <v>93.218935050699997</v>
      </c>
      <c r="AE135">
        <v>96.800984957400004</v>
      </c>
      <c r="AF135">
        <f t="shared" si="2"/>
        <v>95.545220232480006</v>
      </c>
      <c r="AG135">
        <f t="shared" si="3"/>
        <v>1.7728058909778461</v>
      </c>
    </row>
    <row r="136" spans="1:33" ht="15" hidden="1" customHeight="1" x14ac:dyDescent="0.35">
      <c r="A136">
        <v>100</v>
      </c>
      <c r="B136">
        <v>20</v>
      </c>
      <c r="C136">
        <v>12</v>
      </c>
      <c r="D136">
        <v>2</v>
      </c>
      <c r="E136">
        <v>2</v>
      </c>
      <c r="F136">
        <v>4</v>
      </c>
      <c r="G136">
        <v>0</v>
      </c>
      <c r="H136">
        <v>1000000000</v>
      </c>
      <c r="I136">
        <v>100</v>
      </c>
      <c r="J136">
        <v>72</v>
      </c>
      <c r="K136">
        <v>24.666666666699999</v>
      </c>
      <c r="L136">
        <v>98.583952405900007</v>
      </c>
      <c r="M136">
        <v>97.912737667200005</v>
      </c>
      <c r="N136">
        <v>97.191598972600005</v>
      </c>
      <c r="O136">
        <v>97.483880588700003</v>
      </c>
      <c r="P136">
        <v>97.873561626300003</v>
      </c>
      <c r="Q136">
        <v>98.700096090800002</v>
      </c>
      <c r="R136">
        <v>98.508253868200001</v>
      </c>
      <c r="S136">
        <v>98.072350392299995</v>
      </c>
      <c r="T136">
        <v>98.535020710699996</v>
      </c>
      <c r="U136">
        <v>98.914554318200004</v>
      </c>
      <c r="V136">
        <v>97.914082095099999</v>
      </c>
      <c r="W136">
        <v>97.913155283999998</v>
      </c>
      <c r="X136">
        <v>99.002450647399996</v>
      </c>
      <c r="Y136">
        <v>98.434356995200005</v>
      </c>
      <c r="Z136">
        <v>99.156280627900003</v>
      </c>
      <c r="AA136">
        <v>97.750119881100005</v>
      </c>
      <c r="AB136">
        <v>96.973614252399997</v>
      </c>
      <c r="AC136">
        <v>98.414493739899996</v>
      </c>
      <c r="AD136">
        <v>98.260797445099996</v>
      </c>
      <c r="AE136">
        <v>97.136933209600002</v>
      </c>
      <c r="AF136">
        <f t="shared" si="2"/>
        <v>98.136614540930012</v>
      </c>
      <c r="AG136">
        <f t="shared" si="3"/>
        <v>0.60965830527509512</v>
      </c>
    </row>
    <row r="137" spans="1:33" ht="15" hidden="1" customHeight="1" x14ac:dyDescent="0.35">
      <c r="A137">
        <v>100</v>
      </c>
      <c r="B137">
        <v>20</v>
      </c>
      <c r="C137">
        <v>12</v>
      </c>
      <c r="D137">
        <v>2</v>
      </c>
      <c r="E137">
        <v>2</v>
      </c>
      <c r="F137">
        <v>4</v>
      </c>
      <c r="G137">
        <v>0</v>
      </c>
      <c r="H137">
        <v>1000000000</v>
      </c>
      <c r="I137">
        <v>100</v>
      </c>
      <c r="J137">
        <v>76</v>
      </c>
      <c r="K137">
        <v>24.666666666699999</v>
      </c>
      <c r="L137">
        <v>99.613948018499997</v>
      </c>
      <c r="M137">
        <v>99.8352597035</v>
      </c>
      <c r="N137">
        <v>99.877120634199997</v>
      </c>
      <c r="O137">
        <v>99.881187709800002</v>
      </c>
      <c r="P137">
        <v>99.859559284499994</v>
      </c>
      <c r="Q137">
        <v>99.765447215799995</v>
      </c>
      <c r="R137">
        <v>99.611681778900007</v>
      </c>
      <c r="S137">
        <v>98.756348944400003</v>
      </c>
      <c r="T137">
        <v>98.564285918699994</v>
      </c>
      <c r="U137">
        <v>99.907638503599998</v>
      </c>
      <c r="V137">
        <v>99.235337329900005</v>
      </c>
      <c r="W137">
        <v>99.612021790699998</v>
      </c>
      <c r="X137">
        <v>98.961216359900007</v>
      </c>
      <c r="Y137">
        <v>98.832859401999997</v>
      </c>
      <c r="Z137">
        <v>99.376666037800007</v>
      </c>
      <c r="AA137">
        <v>98.599847626599995</v>
      </c>
      <c r="AB137">
        <v>99.879519631099996</v>
      </c>
      <c r="AC137">
        <v>98.909813103399998</v>
      </c>
      <c r="AD137">
        <v>99.005774516000002</v>
      </c>
      <c r="AE137">
        <v>98.116182376400005</v>
      </c>
      <c r="AF137">
        <f t="shared" si="2"/>
        <v>99.310085794284987</v>
      </c>
      <c r="AG137">
        <f t="shared" si="3"/>
        <v>0.5382162617071321</v>
      </c>
    </row>
    <row r="138" spans="1:33" ht="15" hidden="1" customHeight="1" x14ac:dyDescent="0.35">
      <c r="A138">
        <v>100</v>
      </c>
      <c r="B138">
        <v>20</v>
      </c>
      <c r="C138">
        <v>12</v>
      </c>
      <c r="D138">
        <v>2</v>
      </c>
      <c r="E138">
        <v>2</v>
      </c>
      <c r="F138">
        <v>4</v>
      </c>
      <c r="G138">
        <v>0</v>
      </c>
      <c r="H138">
        <v>1000000000</v>
      </c>
      <c r="I138">
        <v>100</v>
      </c>
      <c r="J138">
        <v>80</v>
      </c>
      <c r="K138">
        <v>24.666666666699999</v>
      </c>
      <c r="L138">
        <v>99.933786169900003</v>
      </c>
      <c r="M138">
        <v>99.011054679799997</v>
      </c>
      <c r="N138">
        <v>98.384384595200004</v>
      </c>
      <c r="O138">
        <v>98.989261750799997</v>
      </c>
      <c r="P138">
        <v>98.931811662000001</v>
      </c>
      <c r="Q138">
        <v>99.505157249099994</v>
      </c>
      <c r="R138">
        <v>99.937222255899997</v>
      </c>
      <c r="S138">
        <v>99.825440094599998</v>
      </c>
      <c r="T138">
        <v>99.746279059800003</v>
      </c>
      <c r="U138">
        <v>99.858134110899996</v>
      </c>
      <c r="V138">
        <v>99.890820168700003</v>
      </c>
      <c r="W138">
        <v>99.948918821700005</v>
      </c>
      <c r="X138">
        <v>99.503395256700003</v>
      </c>
      <c r="Y138">
        <v>99.974588901800004</v>
      </c>
      <c r="Z138">
        <v>99.701097802500001</v>
      </c>
      <c r="AA138">
        <v>99.979048837899995</v>
      </c>
      <c r="AB138">
        <v>99.964917685900005</v>
      </c>
      <c r="AC138">
        <v>99.880875598900005</v>
      </c>
      <c r="AD138">
        <v>99.7465110853</v>
      </c>
      <c r="AE138">
        <v>99.962940534699996</v>
      </c>
      <c r="AF138">
        <f t="shared" si="2"/>
        <v>99.633782316104998</v>
      </c>
      <c r="AG138">
        <f t="shared" si="3"/>
        <v>0.43984808544056037</v>
      </c>
    </row>
    <row r="139" spans="1:33" ht="15" hidden="1" customHeight="1" x14ac:dyDescent="0.35">
      <c r="A139">
        <v>100</v>
      </c>
      <c r="B139">
        <v>20</v>
      </c>
      <c r="C139">
        <v>6</v>
      </c>
      <c r="D139">
        <v>2</v>
      </c>
      <c r="E139">
        <v>2</v>
      </c>
      <c r="F139">
        <v>5</v>
      </c>
      <c r="G139">
        <v>0</v>
      </c>
      <c r="H139">
        <v>1000000000</v>
      </c>
      <c r="I139">
        <v>100</v>
      </c>
      <c r="J139">
        <v>72</v>
      </c>
      <c r="K139">
        <v>24.666666666699999</v>
      </c>
      <c r="L139">
        <v>28.9674673283</v>
      </c>
      <c r="M139">
        <v>23.775511854000001</v>
      </c>
      <c r="N139">
        <v>24.559985853800001</v>
      </c>
      <c r="O139">
        <v>22.697351794100001</v>
      </c>
      <c r="P139">
        <v>32.115858929300003</v>
      </c>
      <c r="Q139">
        <v>27.1363608017</v>
      </c>
      <c r="R139">
        <v>24.224406919500002</v>
      </c>
      <c r="S139">
        <v>27.7947370895</v>
      </c>
      <c r="T139">
        <v>22.806726698199999</v>
      </c>
      <c r="U139">
        <v>32.352488287500002</v>
      </c>
      <c r="V139">
        <v>24.533099723599999</v>
      </c>
      <c r="W139">
        <v>22.246840432799999</v>
      </c>
      <c r="X139">
        <v>27.319932470600001</v>
      </c>
      <c r="Y139">
        <v>30.5226624186</v>
      </c>
      <c r="Z139">
        <v>32.570784732200003</v>
      </c>
      <c r="AA139">
        <v>29.193371661899999</v>
      </c>
      <c r="AB139">
        <v>25.7522955096</v>
      </c>
      <c r="AC139">
        <v>29.4287811827</v>
      </c>
      <c r="AD139">
        <v>27.928056123200001</v>
      </c>
      <c r="AE139">
        <v>27.228438628799999</v>
      </c>
      <c r="AF139">
        <f t="shared" si="2"/>
        <v>27.157757921995</v>
      </c>
      <c r="AG139">
        <f t="shared" si="3"/>
        <v>3.1968666096169507</v>
      </c>
    </row>
    <row r="140" spans="1:33" ht="15" hidden="1" customHeight="1" x14ac:dyDescent="0.35">
      <c r="A140">
        <v>100</v>
      </c>
      <c r="B140">
        <v>20</v>
      </c>
      <c r="C140">
        <v>6</v>
      </c>
      <c r="D140">
        <v>2</v>
      </c>
      <c r="E140">
        <v>2</v>
      </c>
      <c r="F140">
        <v>5</v>
      </c>
      <c r="G140">
        <v>0</v>
      </c>
      <c r="H140">
        <v>1000000000</v>
      </c>
      <c r="I140">
        <v>100</v>
      </c>
      <c r="J140">
        <v>76</v>
      </c>
      <c r="K140">
        <v>24.666666666699999</v>
      </c>
      <c r="L140">
        <v>34.9931632256</v>
      </c>
      <c r="M140">
        <v>28.175870785899999</v>
      </c>
      <c r="N140">
        <v>38.618673935300002</v>
      </c>
      <c r="O140">
        <v>39.560690371600003</v>
      </c>
      <c r="P140">
        <v>33.306913534300001</v>
      </c>
      <c r="Q140">
        <v>36.672507858800003</v>
      </c>
      <c r="R140">
        <v>34.922097803600003</v>
      </c>
      <c r="S140">
        <v>40.852894798100003</v>
      </c>
      <c r="T140">
        <v>41.059850318099997</v>
      </c>
      <c r="U140">
        <v>28.079154787699999</v>
      </c>
      <c r="V140">
        <v>30.681893728199999</v>
      </c>
      <c r="W140">
        <v>32.322969930600003</v>
      </c>
      <c r="X140">
        <v>36.2697994002</v>
      </c>
      <c r="Y140">
        <v>26.207742596999999</v>
      </c>
      <c r="Z140">
        <v>33.696096714799999</v>
      </c>
      <c r="AA140">
        <v>32.738836601899997</v>
      </c>
      <c r="AB140">
        <v>29.938109770499999</v>
      </c>
      <c r="AC140">
        <v>33.762039984600001</v>
      </c>
      <c r="AD140">
        <v>35.4292562085</v>
      </c>
      <c r="AE140">
        <v>35.011795529799997</v>
      </c>
      <c r="AF140">
        <f t="shared" si="2"/>
        <v>34.115017894254997</v>
      </c>
      <c r="AG140">
        <f t="shared" si="3"/>
        <v>4.0510935949019986</v>
      </c>
    </row>
    <row r="141" spans="1:33" ht="15" hidden="1" customHeight="1" x14ac:dyDescent="0.35">
      <c r="A141">
        <v>100</v>
      </c>
      <c r="B141">
        <v>20</v>
      </c>
      <c r="C141">
        <v>6</v>
      </c>
      <c r="D141">
        <v>2</v>
      </c>
      <c r="E141">
        <v>2</v>
      </c>
      <c r="F141">
        <v>5</v>
      </c>
      <c r="G141">
        <v>0</v>
      </c>
      <c r="H141">
        <v>1000000000</v>
      </c>
      <c r="I141">
        <v>100</v>
      </c>
      <c r="J141">
        <v>80</v>
      </c>
      <c r="K141">
        <v>24.666666666699999</v>
      </c>
      <c r="L141">
        <v>42.768064484600004</v>
      </c>
      <c r="M141">
        <v>42.543010816900001</v>
      </c>
      <c r="N141">
        <v>46.702751249199999</v>
      </c>
      <c r="O141">
        <v>49.045690230799998</v>
      </c>
      <c r="P141">
        <v>38.687129298999999</v>
      </c>
      <c r="Q141">
        <v>41.142306360600003</v>
      </c>
      <c r="R141">
        <v>46.693461670799998</v>
      </c>
      <c r="S141">
        <v>36.565155920300001</v>
      </c>
      <c r="T141">
        <v>40.654882633</v>
      </c>
      <c r="U141">
        <v>42.388528194700001</v>
      </c>
      <c r="V141">
        <v>39.8969419835</v>
      </c>
      <c r="W141">
        <v>44.045445624400003</v>
      </c>
      <c r="X141">
        <v>45.064126977699999</v>
      </c>
      <c r="Y141">
        <v>48.965554454500001</v>
      </c>
      <c r="Z141">
        <v>45.639407443300001</v>
      </c>
      <c r="AA141">
        <v>40.701115346599998</v>
      </c>
      <c r="AB141">
        <v>44.924672618000002</v>
      </c>
      <c r="AC141">
        <v>40.101643332999998</v>
      </c>
      <c r="AD141">
        <v>36.097868830400003</v>
      </c>
      <c r="AE141">
        <v>40.525354206999999</v>
      </c>
      <c r="AF141">
        <f t="shared" si="2"/>
        <v>42.657655583915002</v>
      </c>
      <c r="AG141">
        <f t="shared" si="3"/>
        <v>3.6044656815437812</v>
      </c>
    </row>
    <row r="142" spans="1:33" ht="15" hidden="1" customHeight="1" x14ac:dyDescent="0.35">
      <c r="A142">
        <v>100</v>
      </c>
      <c r="B142">
        <v>20</v>
      </c>
      <c r="C142">
        <v>8</v>
      </c>
      <c r="D142">
        <v>2</v>
      </c>
      <c r="E142">
        <v>2</v>
      </c>
      <c r="F142">
        <v>5</v>
      </c>
      <c r="G142">
        <v>0</v>
      </c>
      <c r="H142">
        <v>1000000000</v>
      </c>
      <c r="I142">
        <v>100</v>
      </c>
      <c r="J142">
        <v>72</v>
      </c>
      <c r="K142">
        <v>24.666666666699999</v>
      </c>
      <c r="L142">
        <v>63.274579191900003</v>
      </c>
      <c r="M142">
        <v>64.832037164900001</v>
      </c>
      <c r="N142">
        <v>66.687308612199999</v>
      </c>
      <c r="O142">
        <v>71.493846079999997</v>
      </c>
      <c r="P142">
        <v>69.414603427000003</v>
      </c>
      <c r="Q142">
        <v>65.9706250423</v>
      </c>
      <c r="R142">
        <v>69.188520797199999</v>
      </c>
      <c r="S142">
        <v>62.7945869797</v>
      </c>
      <c r="T142">
        <v>58.609079035699999</v>
      </c>
      <c r="U142">
        <v>54.825429733299998</v>
      </c>
      <c r="V142">
        <v>61.910371802</v>
      </c>
      <c r="W142">
        <v>59.757648598099998</v>
      </c>
      <c r="X142">
        <v>64.662128213599999</v>
      </c>
      <c r="Y142">
        <v>64.217573149399996</v>
      </c>
      <c r="Z142">
        <v>73.190630336799998</v>
      </c>
      <c r="AA142">
        <v>66.071456856699996</v>
      </c>
      <c r="AB142">
        <v>62.4290350375</v>
      </c>
      <c r="AC142">
        <v>59.859397895299999</v>
      </c>
      <c r="AD142">
        <v>56.375682663100001</v>
      </c>
      <c r="AE142">
        <v>66.714213513600001</v>
      </c>
      <c r="AF142">
        <f t="shared" si="2"/>
        <v>64.113937706514989</v>
      </c>
      <c r="AG142">
        <f t="shared" si="3"/>
        <v>4.6683306518777226</v>
      </c>
    </row>
    <row r="143" spans="1:33" ht="15" customHeight="1" x14ac:dyDescent="0.35">
      <c r="A143">
        <v>100</v>
      </c>
      <c r="B143">
        <v>20</v>
      </c>
      <c r="C143">
        <v>8</v>
      </c>
      <c r="D143">
        <v>2</v>
      </c>
      <c r="E143">
        <v>2</v>
      </c>
      <c r="F143">
        <v>5</v>
      </c>
      <c r="G143">
        <v>0</v>
      </c>
      <c r="H143">
        <v>1000000000</v>
      </c>
      <c r="I143">
        <v>100</v>
      </c>
      <c r="J143">
        <v>76</v>
      </c>
      <c r="K143">
        <v>24.666666666699999</v>
      </c>
      <c r="L143">
        <v>69.791147966699995</v>
      </c>
      <c r="M143">
        <v>75.860770700200007</v>
      </c>
      <c r="N143">
        <v>67.710322957000002</v>
      </c>
      <c r="O143">
        <v>66.575615830399997</v>
      </c>
      <c r="P143">
        <v>67.706684382199995</v>
      </c>
      <c r="Q143">
        <v>65.111448296999995</v>
      </c>
      <c r="R143">
        <v>67.547459752400002</v>
      </c>
      <c r="S143">
        <v>72.202863445899993</v>
      </c>
      <c r="T143">
        <v>71.729216777199994</v>
      </c>
      <c r="U143">
        <v>66.858116795800001</v>
      </c>
      <c r="V143">
        <v>77.962786419699995</v>
      </c>
      <c r="W143">
        <v>69.560325071099996</v>
      </c>
      <c r="X143">
        <v>77.926336060699995</v>
      </c>
      <c r="Y143">
        <v>67.841442563200005</v>
      </c>
      <c r="Z143">
        <v>73.231577601500007</v>
      </c>
      <c r="AA143">
        <v>68.868988187200003</v>
      </c>
      <c r="AB143">
        <v>74.251378480200003</v>
      </c>
      <c r="AC143">
        <v>71.838037346099995</v>
      </c>
      <c r="AD143">
        <v>74.408660854499999</v>
      </c>
      <c r="AE143">
        <v>75.484041867200006</v>
      </c>
      <c r="AF143">
        <f t="shared" si="2"/>
        <v>71.123361067810009</v>
      </c>
      <c r="AG143">
        <f t="shared" si="3"/>
        <v>3.8260961645875597</v>
      </c>
    </row>
    <row r="144" spans="1:33" ht="15" hidden="1" customHeight="1" x14ac:dyDescent="0.35">
      <c r="A144">
        <v>100</v>
      </c>
      <c r="B144">
        <v>20</v>
      </c>
      <c r="C144">
        <v>8</v>
      </c>
      <c r="D144">
        <v>2</v>
      </c>
      <c r="E144">
        <v>2</v>
      </c>
      <c r="F144">
        <v>5</v>
      </c>
      <c r="G144">
        <v>0</v>
      </c>
      <c r="H144">
        <v>1000000000</v>
      </c>
      <c r="I144">
        <v>100</v>
      </c>
      <c r="J144">
        <v>80</v>
      </c>
      <c r="K144">
        <v>24.666666666699999</v>
      </c>
      <c r="L144">
        <v>83.806113326200006</v>
      </c>
      <c r="M144">
        <v>81.580799540699999</v>
      </c>
      <c r="N144">
        <v>75.837509413899994</v>
      </c>
      <c r="O144">
        <v>80.231170658300002</v>
      </c>
      <c r="P144">
        <v>77.998552215800004</v>
      </c>
      <c r="Q144">
        <v>76.258783962699994</v>
      </c>
      <c r="R144">
        <v>80.943295807699997</v>
      </c>
      <c r="S144">
        <v>74.596674274400002</v>
      </c>
      <c r="T144">
        <v>78.578371789499997</v>
      </c>
      <c r="U144">
        <v>76.0070156492</v>
      </c>
      <c r="V144">
        <v>79.650992146600004</v>
      </c>
      <c r="W144">
        <v>81.207579971800001</v>
      </c>
      <c r="X144">
        <v>72.388055807000001</v>
      </c>
      <c r="Y144">
        <v>75.264317762299996</v>
      </c>
      <c r="Z144">
        <v>72.747004877500004</v>
      </c>
      <c r="AA144">
        <v>78.786307149300001</v>
      </c>
      <c r="AB144">
        <v>76.304688054699994</v>
      </c>
      <c r="AC144">
        <v>82.773360704799998</v>
      </c>
      <c r="AD144">
        <v>74.183612991900006</v>
      </c>
      <c r="AE144">
        <v>80.5109980764</v>
      </c>
      <c r="AF144">
        <f t="shared" si="2"/>
        <v>77.982760209034993</v>
      </c>
      <c r="AG144">
        <f t="shared" si="3"/>
        <v>3.2442179750374134</v>
      </c>
    </row>
    <row r="145" spans="1:33" hidden="1" x14ac:dyDescent="0.35">
      <c r="A145">
        <v>100</v>
      </c>
      <c r="B145">
        <v>20</v>
      </c>
      <c r="C145">
        <v>10</v>
      </c>
      <c r="D145">
        <v>2</v>
      </c>
      <c r="E145">
        <v>2</v>
      </c>
      <c r="F145">
        <v>5</v>
      </c>
      <c r="G145">
        <v>0</v>
      </c>
      <c r="H145">
        <v>1000000000</v>
      </c>
      <c r="I145">
        <v>100</v>
      </c>
      <c r="J145">
        <v>72</v>
      </c>
      <c r="K145">
        <v>24.666666666699999</v>
      </c>
      <c r="L145">
        <v>84.729520073800003</v>
      </c>
      <c r="M145">
        <v>94.719215129000006</v>
      </c>
      <c r="N145">
        <v>89.767650302299998</v>
      </c>
      <c r="O145">
        <v>89.312842303500005</v>
      </c>
      <c r="P145">
        <v>89.640876529799996</v>
      </c>
      <c r="Q145">
        <v>92.750644791900001</v>
      </c>
      <c r="R145">
        <v>91.333189955999998</v>
      </c>
      <c r="S145">
        <v>93.079432096999994</v>
      </c>
      <c r="T145">
        <v>87.991006480400003</v>
      </c>
      <c r="U145">
        <v>91.301019124700005</v>
      </c>
      <c r="V145">
        <v>89.058429302199997</v>
      </c>
      <c r="W145">
        <v>90.303313453399994</v>
      </c>
      <c r="X145">
        <v>91.0739723091</v>
      </c>
      <c r="Y145">
        <v>92.250834189299994</v>
      </c>
      <c r="Z145">
        <v>88.043376448999993</v>
      </c>
      <c r="AA145">
        <v>94.164445895399993</v>
      </c>
      <c r="AB145">
        <v>87.445214461299997</v>
      </c>
      <c r="AC145">
        <v>92.138402526700006</v>
      </c>
      <c r="AD145">
        <v>90.313814202100005</v>
      </c>
      <c r="AE145">
        <v>90.681769794999994</v>
      </c>
      <c r="AF145">
        <f t="shared" si="2"/>
        <v>90.504948468594989</v>
      </c>
      <c r="AG145">
        <f t="shared" si="3"/>
        <v>2.3472524093833327</v>
      </c>
    </row>
    <row r="146" spans="1:33" hidden="1" x14ac:dyDescent="0.35">
      <c r="A146">
        <v>100</v>
      </c>
      <c r="B146">
        <v>20</v>
      </c>
      <c r="C146">
        <v>10</v>
      </c>
      <c r="D146">
        <v>2</v>
      </c>
      <c r="E146">
        <v>2</v>
      </c>
      <c r="F146">
        <v>5</v>
      </c>
      <c r="G146">
        <v>0</v>
      </c>
      <c r="H146">
        <v>1000000000</v>
      </c>
      <c r="I146">
        <v>100</v>
      </c>
      <c r="J146">
        <v>76</v>
      </c>
      <c r="K146">
        <v>24.666666666699999</v>
      </c>
      <c r="L146">
        <v>91.823722122700005</v>
      </c>
      <c r="M146">
        <v>92.942368393699994</v>
      </c>
      <c r="N146">
        <v>95.073481513299996</v>
      </c>
      <c r="O146">
        <v>91.136530988100006</v>
      </c>
      <c r="P146">
        <v>95.552404000099997</v>
      </c>
      <c r="Q146">
        <v>93.769116274400005</v>
      </c>
      <c r="R146">
        <v>96.069665872300007</v>
      </c>
      <c r="S146">
        <v>91.088917092499997</v>
      </c>
      <c r="T146">
        <v>94.486660570200002</v>
      </c>
      <c r="U146">
        <v>94.942828472200006</v>
      </c>
      <c r="V146">
        <v>94.920104552500007</v>
      </c>
      <c r="W146">
        <v>96.044858650799995</v>
      </c>
      <c r="X146">
        <v>95.858061697500005</v>
      </c>
      <c r="Y146">
        <v>95.725315916200003</v>
      </c>
      <c r="Z146">
        <v>92.183795460200002</v>
      </c>
      <c r="AA146">
        <v>91.2375446291</v>
      </c>
      <c r="AB146">
        <v>95.440422827899994</v>
      </c>
      <c r="AC146">
        <v>90.607850777400003</v>
      </c>
      <c r="AD146">
        <v>93.900379123799993</v>
      </c>
      <c r="AE146">
        <v>93.613481589499997</v>
      </c>
      <c r="AF146">
        <f t="shared" si="2"/>
        <v>93.820875526220007</v>
      </c>
      <c r="AG146">
        <f t="shared" si="3"/>
        <v>1.8308406142239879</v>
      </c>
    </row>
    <row r="147" spans="1:33" hidden="1" x14ac:dyDescent="0.35">
      <c r="A147">
        <v>100</v>
      </c>
      <c r="B147">
        <v>20</v>
      </c>
      <c r="C147">
        <v>10</v>
      </c>
      <c r="D147">
        <v>2</v>
      </c>
      <c r="E147">
        <v>2</v>
      </c>
      <c r="F147">
        <v>5</v>
      </c>
      <c r="G147">
        <v>0</v>
      </c>
      <c r="H147">
        <v>1000000000</v>
      </c>
      <c r="I147">
        <v>100</v>
      </c>
      <c r="J147">
        <v>80</v>
      </c>
      <c r="K147">
        <v>24.666666666699999</v>
      </c>
      <c r="L147">
        <v>97.123883908899998</v>
      </c>
      <c r="M147">
        <v>96.179936790900001</v>
      </c>
      <c r="N147">
        <v>97.492085865099995</v>
      </c>
      <c r="O147">
        <v>94.187950457300005</v>
      </c>
      <c r="P147">
        <v>98.335203927600006</v>
      </c>
      <c r="Q147">
        <v>95.072715339499993</v>
      </c>
      <c r="R147">
        <v>92.125657953499996</v>
      </c>
      <c r="S147">
        <v>95.190932597400007</v>
      </c>
      <c r="T147">
        <v>97.079825290299993</v>
      </c>
      <c r="U147">
        <v>96.376272608600004</v>
      </c>
      <c r="V147">
        <v>95.859582162400002</v>
      </c>
      <c r="W147">
        <v>95.989097179699996</v>
      </c>
      <c r="X147">
        <v>95.896522821000005</v>
      </c>
      <c r="Y147">
        <v>93.781877847700002</v>
      </c>
      <c r="Z147">
        <v>94.893369388500005</v>
      </c>
      <c r="AA147">
        <v>96.1613326505</v>
      </c>
      <c r="AB147">
        <v>96.600164071699993</v>
      </c>
      <c r="AC147">
        <v>94.750694017100002</v>
      </c>
      <c r="AD147">
        <v>96.982776589500006</v>
      </c>
      <c r="AE147">
        <v>96.010280549000001</v>
      </c>
      <c r="AF147">
        <f t="shared" si="2"/>
        <v>95.804508100810011</v>
      </c>
      <c r="AG147">
        <f t="shared" si="3"/>
        <v>1.3859100904256354</v>
      </c>
    </row>
    <row r="148" spans="1:33" ht="15" hidden="1" customHeight="1" x14ac:dyDescent="0.35">
      <c r="A148">
        <v>100</v>
      </c>
      <c r="B148">
        <v>20</v>
      </c>
      <c r="C148">
        <v>12</v>
      </c>
      <c r="D148">
        <v>2</v>
      </c>
      <c r="E148">
        <v>2</v>
      </c>
      <c r="F148">
        <v>5</v>
      </c>
      <c r="G148">
        <v>0</v>
      </c>
      <c r="H148">
        <v>1000000000</v>
      </c>
      <c r="I148">
        <v>100</v>
      </c>
      <c r="J148">
        <v>72</v>
      </c>
      <c r="K148">
        <v>24.666666666699999</v>
      </c>
      <c r="L148">
        <v>99.130180256399996</v>
      </c>
      <c r="M148">
        <v>97.707911522499998</v>
      </c>
      <c r="N148">
        <v>99.852356495699993</v>
      </c>
      <c r="O148">
        <v>98.5865509602</v>
      </c>
      <c r="P148">
        <v>99.117731241900003</v>
      </c>
      <c r="Q148">
        <v>98.515947246799996</v>
      </c>
      <c r="R148">
        <v>98.607527851599997</v>
      </c>
      <c r="S148">
        <v>97.834590197400004</v>
      </c>
      <c r="T148">
        <v>99.409050832199995</v>
      </c>
      <c r="U148">
        <v>99.245526948600002</v>
      </c>
      <c r="V148">
        <v>99.296548532000003</v>
      </c>
      <c r="W148">
        <v>98.859725558999997</v>
      </c>
      <c r="X148">
        <v>98.183880821200006</v>
      </c>
      <c r="Y148">
        <v>98.146841367500002</v>
      </c>
      <c r="Z148">
        <v>98.835256168300006</v>
      </c>
      <c r="AA148">
        <v>97.926465587699994</v>
      </c>
      <c r="AB148">
        <v>97.858686524500001</v>
      </c>
      <c r="AC148">
        <v>99.100062102600006</v>
      </c>
      <c r="AD148">
        <v>98.101171166599997</v>
      </c>
      <c r="AE148">
        <v>99.871685006899995</v>
      </c>
      <c r="AF148">
        <f t="shared" ref="AF148:AF150" si="4">AVERAGE(L148:AE148)</f>
        <v>98.709384819479993</v>
      </c>
      <c r="AG148">
        <f t="shared" ref="AG148:AG150" si="5">_xlfn.STDEV.P(L148:AE148)</f>
        <v>0.64977832475706632</v>
      </c>
    </row>
    <row r="149" spans="1:33" ht="15" hidden="1" customHeight="1" x14ac:dyDescent="0.35">
      <c r="A149">
        <v>100</v>
      </c>
      <c r="B149">
        <v>20</v>
      </c>
      <c r="C149">
        <v>12</v>
      </c>
      <c r="D149">
        <v>2</v>
      </c>
      <c r="E149">
        <v>2</v>
      </c>
      <c r="F149">
        <v>5</v>
      </c>
      <c r="G149">
        <v>0</v>
      </c>
      <c r="H149">
        <v>1000000000</v>
      </c>
      <c r="I149">
        <v>100</v>
      </c>
      <c r="J149">
        <v>76</v>
      </c>
      <c r="K149">
        <v>24.666666666699999</v>
      </c>
      <c r="L149">
        <v>99.873136502199998</v>
      </c>
      <c r="M149">
        <v>99.190164190600001</v>
      </c>
      <c r="N149">
        <v>99.888754349899997</v>
      </c>
      <c r="O149">
        <v>99.129609102100005</v>
      </c>
      <c r="P149">
        <v>98.837686864700004</v>
      </c>
      <c r="Q149">
        <v>98.797075982799996</v>
      </c>
      <c r="R149">
        <v>98.757243459899996</v>
      </c>
      <c r="S149">
        <v>99.733809192600006</v>
      </c>
      <c r="T149">
        <v>99.921239002899995</v>
      </c>
      <c r="U149">
        <v>99.773263759599999</v>
      </c>
      <c r="V149">
        <v>99.956999393499999</v>
      </c>
      <c r="W149">
        <v>99.913121314799994</v>
      </c>
      <c r="X149">
        <v>99.923228312500001</v>
      </c>
      <c r="Y149">
        <v>98.422877146800005</v>
      </c>
      <c r="Z149">
        <v>99.175530031400001</v>
      </c>
      <c r="AA149">
        <v>99.590486657300005</v>
      </c>
      <c r="AB149">
        <v>99.936208042900006</v>
      </c>
      <c r="AC149">
        <v>99.445105691500004</v>
      </c>
      <c r="AD149">
        <v>99.083815483099997</v>
      </c>
      <c r="AE149">
        <v>99.333214902600005</v>
      </c>
      <c r="AF149">
        <f t="shared" si="4"/>
        <v>99.434128469184998</v>
      </c>
      <c r="AG149">
        <f t="shared" si="5"/>
        <v>0.4719437094582058</v>
      </c>
    </row>
    <row r="150" spans="1:33" ht="15" hidden="1" customHeight="1" x14ac:dyDescent="0.35">
      <c r="A150">
        <v>100</v>
      </c>
      <c r="B150">
        <v>20</v>
      </c>
      <c r="C150">
        <v>12</v>
      </c>
      <c r="D150">
        <v>2</v>
      </c>
      <c r="E150">
        <v>2</v>
      </c>
      <c r="F150">
        <v>5</v>
      </c>
      <c r="G150">
        <v>0</v>
      </c>
      <c r="H150">
        <v>1000000000</v>
      </c>
      <c r="I150">
        <v>100</v>
      </c>
      <c r="J150">
        <v>80</v>
      </c>
      <c r="K150">
        <v>24.666666666699999</v>
      </c>
      <c r="L150">
        <v>99.902476017699996</v>
      </c>
      <c r="M150">
        <v>99.975366730000005</v>
      </c>
      <c r="N150">
        <v>99.959494159399995</v>
      </c>
      <c r="O150">
        <v>99.779375771199994</v>
      </c>
      <c r="P150">
        <v>99.801558799299997</v>
      </c>
      <c r="Q150">
        <v>99.622818740300005</v>
      </c>
      <c r="R150">
        <v>98.921975098600001</v>
      </c>
      <c r="S150">
        <v>99.922932440099999</v>
      </c>
      <c r="T150">
        <v>99.971896862299999</v>
      </c>
      <c r="U150">
        <v>99.744453532500003</v>
      </c>
      <c r="V150">
        <v>99.725303357499996</v>
      </c>
      <c r="W150">
        <v>99.979087846400006</v>
      </c>
      <c r="X150">
        <v>99.008853400700005</v>
      </c>
      <c r="Y150">
        <v>99.020879927099998</v>
      </c>
      <c r="Z150">
        <v>99.930451816800002</v>
      </c>
      <c r="AA150">
        <v>99.9793844804</v>
      </c>
      <c r="AB150">
        <v>99.980724174499997</v>
      </c>
      <c r="AC150">
        <v>99.8811527724</v>
      </c>
      <c r="AD150">
        <v>99.175501952999994</v>
      </c>
      <c r="AE150">
        <v>99.859101322800001</v>
      </c>
      <c r="AF150">
        <f t="shared" si="4"/>
        <v>99.707139460149989</v>
      </c>
      <c r="AG150">
        <f t="shared" si="5"/>
        <v>0.3533591639353581</v>
      </c>
    </row>
  </sheetData>
  <dataConsolidate/>
  <dataValidations count="9">
    <dataValidation type="list" allowBlank="1" showInputMessage="1" showErrorMessage="1" sqref="E2">
      <formula1>n</formula1>
    </dataValidation>
    <dataValidation type="list" allowBlank="1" showInputMessage="1" showErrorMessage="1" sqref="E3">
      <formula1>k</formula1>
    </dataValidation>
    <dataValidation type="list" allowBlank="1" showInputMessage="1" showErrorMessage="1" sqref="E4">
      <formula1>ab</formula1>
    </dataValidation>
    <dataValidation type="list" allowBlank="1" showInputMessage="1" showErrorMessage="1" sqref="E5">
      <formula1>absd</formula1>
    </dataValidation>
    <dataValidation type="list" allowBlank="1" showInputMessage="1" showErrorMessage="1" sqref="E6">
      <formula1>d</formula1>
    </dataValidation>
    <dataValidation type="list" allowBlank="1" showInputMessage="1" showErrorMessage="1" sqref="E7">
      <formula1>dshift</formula1>
    </dataValidation>
    <dataValidation type="list" allowBlank="1" showInputMessage="1" showErrorMessage="1" sqref="E8">
      <formula1>dsd</formula1>
    </dataValidation>
    <dataValidation type="list" allowBlank="1" showInputMessage="1" showErrorMessage="1" sqref="E9">
      <formula1>no</formula1>
    </dataValidation>
    <dataValidation type="list" allowBlank="1" showInputMessage="1" showErrorMessage="1" sqref="E10">
      <formula1>dofi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hangeAxisScales">
                <anchor moveWithCells="1" sizeWithCells="1">
                  <from>
                    <xdr:col>6</xdr:col>
                    <xdr:colOff>209550</xdr:colOff>
                    <xdr:row>3</xdr:row>
                    <xdr:rowOff>38100</xdr:rowOff>
                  </from>
                  <to>
                    <xdr:col>7</xdr:col>
                    <xdr:colOff>412750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FilterandGraph">
                <anchor moveWithCells="1" sizeWithCells="1">
                  <from>
                    <xdr:col>6</xdr:col>
                    <xdr:colOff>127000</xdr:colOff>
                    <xdr:row>7</xdr:row>
                    <xdr:rowOff>69850</xdr:rowOff>
                  </from>
                  <to>
                    <xdr:col>7</xdr:col>
                    <xdr:colOff>412750</xdr:colOff>
                    <xdr:row>9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22</vt:i4>
      </vt:variant>
    </vt:vector>
  </HeadingPairs>
  <TitlesOfParts>
    <vt:vector size="23" baseType="lpstr">
      <vt:lpstr>TCPresults</vt:lpstr>
      <vt:lpstr>ab</vt:lpstr>
      <vt:lpstr>abmeanval</vt:lpstr>
      <vt:lpstr>absd</vt:lpstr>
      <vt:lpstr>absdval</vt:lpstr>
      <vt:lpstr>Axis_max</vt:lpstr>
      <vt:lpstr>Axis_min</vt:lpstr>
      <vt:lpstr>d</vt:lpstr>
      <vt:lpstr>dofi</vt:lpstr>
      <vt:lpstr>dofival</vt:lpstr>
      <vt:lpstr>dsd</vt:lpstr>
      <vt:lpstr>dsdval</vt:lpstr>
      <vt:lpstr>dshift</vt:lpstr>
      <vt:lpstr>dshiftval</vt:lpstr>
      <vt:lpstr>dval</vt:lpstr>
      <vt:lpstr>fofi</vt:lpstr>
      <vt:lpstr>k</vt:lpstr>
      <vt:lpstr>kval</vt:lpstr>
      <vt:lpstr>maxd</vt:lpstr>
      <vt:lpstr>n</vt:lpstr>
      <vt:lpstr>no</vt:lpstr>
      <vt:lpstr>noval</vt:lpstr>
      <vt:lpstr>nval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Bolt</dc:creator>
  <cp:lastModifiedBy>Matt Bolt</cp:lastModifiedBy>
  <dcterms:created xsi:type="dcterms:W3CDTF">2016-02-02T16:30:34Z</dcterms:created>
  <dcterms:modified xsi:type="dcterms:W3CDTF">2016-02-09T20:48:46Z</dcterms:modified>
</cp:coreProperties>
</file>